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thd\OneDrive\Desktop\"/>
    </mc:Choice>
  </mc:AlternateContent>
  <xr:revisionPtr revIDLastSave="0" documentId="13_ncr:1_{EB29BFC3-9E13-433B-8C72-34810D2FF3A9}" xr6:coauthVersionLast="47" xr6:coauthVersionMax="47" xr10:uidLastSave="{00000000-0000-0000-0000-000000000000}"/>
  <bookViews>
    <workbookView xWindow="-108" yWindow="-108" windowWidth="23256" windowHeight="13176" tabRatio="989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a="1"/>
  <c r="L115" i="3" s="1"/>
  <c r="I115" i="3"/>
  <c r="J115" i="3" a="1"/>
  <c r="J115" i="3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s="1" a="1"/>
  <c r="J32" i="3" s="1"/>
  <c r="G32" i="3"/>
  <c r="H32" i="3" a="1"/>
  <c r="H32" i="3"/>
  <c r="E32" i="3"/>
  <c r="F32" i="3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/>
  <c r="K111" i="3"/>
  <c r="L111" i="3" a="1"/>
  <c r="L111" i="3"/>
  <c r="I111" i="3"/>
  <c r="J111" i="3" s="1" a="1"/>
  <c r="J111" i="3" s="1"/>
  <c r="G111" i="3"/>
  <c r="H111" i="3" a="1"/>
  <c r="H111" i="3"/>
  <c r="E111" i="3"/>
  <c r="F111" i="3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a="1"/>
  <c r="F109" i="3" s="1"/>
  <c r="K107" i="3"/>
  <c r="L107" i="3" a="1"/>
  <c r="L107" i="3"/>
  <c r="I107" i="3"/>
  <c r="J107" i="3" a="1"/>
  <c r="J107" i="3" s="1"/>
  <c r="G107" i="3"/>
  <c r="H107" i="3" a="1"/>
  <c r="H107" i="3"/>
  <c r="E107" i="3"/>
  <c r="F107" i="3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 s="1"/>
  <c r="K103" i="3"/>
  <c r="L103" i="3" a="1"/>
  <c r="L103" i="3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 s="1"/>
  <c r="L97" i="3" a="1"/>
  <c r="L97" i="3"/>
  <c r="K97" i="3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a="1"/>
  <c r="J95" i="3"/>
  <c r="G95" i="3"/>
  <c r="H95" i="3" s="1" a="1"/>
  <c r="H95" i="3" s="1"/>
  <c r="E95" i="3"/>
  <c r="F95" i="3" s="1" a="1"/>
  <c r="F95" i="3" s="1"/>
  <c r="L93" i="3" a="1"/>
  <c r="L93" i="3"/>
  <c r="K93" i="3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a="1"/>
  <c r="J91" i="3"/>
  <c r="G91" i="3"/>
  <c r="H91" i="3" s="1" a="1"/>
  <c r="H91" i="3" s="1"/>
  <c r="E91" i="3"/>
  <c r="F91" i="3" a="1"/>
  <c r="F91" i="3" s="1"/>
  <c r="K88" i="3"/>
  <c r="L88" i="3" a="1"/>
  <c r="L88" i="3" s="1"/>
  <c r="I88" i="3"/>
  <c r="J88" i="3" s="1" a="1"/>
  <c r="J88" i="3" s="1"/>
  <c r="G88" i="3"/>
  <c r="H88" i="3" a="1"/>
  <c r="H88" i="3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a="1"/>
  <c r="F86" i="3"/>
  <c r="K84" i="3"/>
  <c r="L84" i="3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a="1"/>
  <c r="L80" i="3" s="1"/>
  <c r="I80" i="3"/>
  <c r="J80" i="3" s="1" a="1"/>
  <c r="J80" i="3" s="1"/>
  <c r="G80" i="3"/>
  <c r="H80" i="3" a="1"/>
  <c r="H80" i="3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a="1"/>
  <c r="L76" i="3" s="1"/>
  <c r="I76" i="3"/>
  <c r="J76" i="3" s="1" a="1"/>
  <c r="J76" i="3" s="1"/>
  <c r="G76" i="3"/>
  <c r="H76" i="3" a="1"/>
  <c r="H76" i="3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a="1"/>
  <c r="L72" i="3" s="1"/>
  <c r="I72" i="3"/>
  <c r="J72" i="3" s="1" a="1"/>
  <c r="J72" i="3" s="1"/>
  <c r="G72" i="3"/>
  <c r="H72" i="3" a="1"/>
  <c r="H72" i="3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a="1"/>
  <c r="L65" i="3"/>
  <c r="I65" i="3"/>
  <c r="J65" i="3" a="1"/>
  <c r="J65" i="3"/>
  <c r="G65" i="3"/>
  <c r="H65" i="3" s="1" a="1"/>
  <c r="H65" i="3" s="1"/>
  <c r="E65" i="3"/>
  <c r="F65" i="3" a="1"/>
  <c r="F65" i="3"/>
  <c r="K63" i="3"/>
  <c r="L63" i="3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a="1"/>
  <c r="J61" i="3" s="1"/>
  <c r="G61" i="3"/>
  <c r="H61" i="3" s="1" a="1"/>
  <c r="H61" i="3" s="1"/>
  <c r="E61" i="3"/>
  <c r="F61" i="3" a="1"/>
  <c r="F61" i="3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a="1"/>
  <c r="L57" i="3"/>
  <c r="I57" i="3"/>
  <c r="J57" i="3" a="1"/>
  <c r="J57" i="3"/>
  <c r="G57" i="3"/>
  <c r="H57" i="3" s="1" a="1"/>
  <c r="H57" i="3" s="1"/>
  <c r="E57" i="3"/>
  <c r="F57" i="3" a="1"/>
  <c r="F57" i="3"/>
  <c r="L55" i="3" a="1"/>
  <c r="L55" i="3"/>
  <c r="K55" i="3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a="1"/>
  <c r="L53" i="3" s="1"/>
  <c r="I53" i="3"/>
  <c r="J53" i="3" a="1"/>
  <c r="J53" i="3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 s="1"/>
  <c r="I46" i="3"/>
  <c r="J46" i="3" s="1" a="1"/>
  <c r="J46" i="3" s="1"/>
  <c r="G46" i="3"/>
  <c r="H46" i="3" a="1"/>
  <c r="H46" i="3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 s="1"/>
  <c r="I42" i="3"/>
  <c r="J42" i="3" s="1" a="1"/>
  <c r="J42" i="3" s="1"/>
  <c r="G42" i="3"/>
  <c r="H42" i="3" a="1"/>
  <c r="H42" i="3"/>
  <c r="E42" i="3"/>
  <c r="F42" i="3" s="1" a="1"/>
  <c r="F42" i="3" s="1"/>
  <c r="K38" i="3"/>
  <c r="L38" i="3" s="1" a="1"/>
  <c r="L38" i="3" s="1"/>
  <c r="I38" i="3"/>
  <c r="J38" i="3" a="1"/>
  <c r="J38" i="3" s="1"/>
  <c r="G38" i="3"/>
  <c r="H38" i="3" s="1" a="1"/>
  <c r="H38" i="3" s="1"/>
  <c r="E38" i="3"/>
  <c r="F38" i="3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a="1"/>
  <c r="J34" i="3"/>
  <c r="G34" i="3"/>
  <c r="H34" i="3" s="1" a="1"/>
  <c r="H34" i="3" s="1"/>
  <c r="E34" i="3"/>
  <c r="F34" i="3" a="1"/>
  <c r="F34" i="3"/>
  <c r="K30" i="3"/>
  <c r="L30" i="3" s="1" a="1"/>
  <c r="L30" i="3" s="1"/>
  <c r="I30" i="3"/>
  <c r="J30" i="3" s="1" a="1"/>
  <c r="J30" i="3" s="1"/>
  <c r="G30" i="3"/>
  <c r="H30" i="3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/>
  <c r="I23" i="3"/>
  <c r="J23" i="3" s="1" a="1"/>
  <c r="J23" i="3" s="1"/>
  <c r="G23" i="3"/>
  <c r="H23" i="3" s="1" a="1"/>
  <c r="H23" i="3" s="1"/>
  <c r="E23" i="3"/>
  <c r="F23" i="3" a="1"/>
  <c r="F23" i="3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a="1"/>
  <c r="L15" i="3"/>
  <c r="I15" i="3"/>
  <c r="J15" i="3" s="1" a="1"/>
  <c r="J15" i="3" s="1"/>
  <c r="G15" i="3"/>
  <c r="H15" i="3" s="1" a="1"/>
  <c r="H15" i="3" s="1"/>
  <c r="E15" i="3"/>
  <c r="F15" i="3" a="1"/>
  <c r="F15" i="3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tc={2B07669F-C4F0-49B7-838A-A23E443F8BC7}</author>
    <author>tc={1FF9D106-356C-4A41-9551-7282B63ADBF6}</author>
    <author>tc={6DDEC496-260A-478B-8121-3FBFCFA90873}</author>
    <author>tc={8E375296-4D0D-486B-BAE2-359CC2B6A83B}</author>
    <author>tc={83461DF2-B883-46BA-BC5F-B332912AEA2F}</author>
  </authors>
  <commentList>
    <comment ref="I37" authorId="0" shapeId="0" xr:uid="{2B07669F-C4F0-49B7-838A-A23E443F8BC7}">
      <text>
        <t>[Threaded comment]
Your version of Excel allows you to read this threaded comment; however, any edits to it will get removed if the file is opened in a newer version of Excel. Learn more: https://go.microsoft.com/fwlink/?linkid=870924
Comment:
    10.12 Turn #1</t>
      </text>
    </comment>
    <comment ref="E50" authorId="1" shapeId="0" xr:uid="{1FF9D106-356C-4A41-9551-7282B63ADBF6}">
      <text>
        <t>[Threaded comment]
Your version of Excel allows you to read this threaded comment; however, any edits to it will get removed if the file is opened in a newer version of Excel. Learn more: https://go.microsoft.com/fwlink/?linkid=870924
Comment:
    8.2</t>
      </text>
    </comment>
    <comment ref="K83" authorId="2" shapeId="0" xr:uid="{6DDEC496-260A-478B-8121-3FBFCFA90873}">
      <text>
        <t>[Threaded comment]
Your version of Excel allows you to read this threaded comment; however, any edits to it will get removed if the file is opened in a newer version of Excel. Learn more: https://go.microsoft.com/fwlink/?linkid=870924
Comment:
    10.11 Turn #2</t>
      </text>
    </comment>
    <comment ref="E87" authorId="3" shapeId="0" xr:uid="{8E375296-4D0D-486B-BAE2-359CC2B6A83B}">
      <text>
        <t>[Threaded comment]
Your version of Excel allows you to read this threaded comment; however, any edits to it will get removed if the file is opened in a newer version of Excel. Learn more: https://go.microsoft.com/fwlink/?linkid=870924
Comment:
    10.2 Turn #1</t>
      </text>
    </comment>
    <comment ref="I87" authorId="4" shapeId="0" xr:uid="{83461DF2-B883-46BA-BC5F-B332912AEA2F}">
      <text>
        <t>[Threaded comment]
Your version of Excel allows you to read this threaded comment; however, any edits to it will get removed if the file is opened in a newer version of Excel. Learn more: https://go.microsoft.com/fwlink/?linkid=870924
Comment:
    10.12 Turn #2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<sst xmlns="http://schemas.openxmlformats.org/spreadsheetml/2006/main" count="1357" uniqueCount="105">
  <si>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</si>
  <si>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</si>
  <si>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</si>
  <si>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</si>
  <si>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</si>
  <si>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</si>
  <si>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</si>
  <si>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</si>
  <si>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</si>
  <si>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</si>
  <si>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</si>
  <si>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</si>
  <si>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</si>
  <si>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</si>
  <si>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</si>
  <si>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</si>
  <si>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</si>
  <si>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</si>
  <si>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</si>
  <si>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</si>
  <si>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</si>
  <si>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</si>
  <si>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</si>
  <si>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</si>
  <si>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</si>
  <si>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</si>
  <si>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</si>
  <si>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</si>
  <si>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</si>
  <si>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</si>
  <si>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</si>
  <si>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</si>
  <si>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</si>
  <si>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</si>
  <si>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</si>
  <si>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</si>
  <si>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</si>
  <si>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</si>
  <si>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</si>
  <si>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</si>
  <si>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</si>
  <si>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</si>
  <si>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</si>
  <si>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</si>
  <si>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</si>
  <si>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</si>
  <si>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</si>
  <si>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</si>
  <si>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</si>
  <si>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</si>
  <si>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</si>
  <si>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</si>
  <si>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</si>
  <si>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</si>
  <si>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</si>
  <si>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</si>
  <si>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</si>
  <si>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</si>
  <si>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</si>
  <si>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</si>
  <si>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</si>
  <si>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</si>
  <si>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</si>
  <si>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</si>
  <si>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</si>
  <si>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</si>
  <si>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</si>
  <si>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</si>
  <si>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</si>
  <si>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</si>
  <si>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</si>
  <si>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</si>
  <si>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</si>
  <si>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</si>
  <si>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</si>
  <si>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</si>
  <si>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</si>
  <si>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</si>
  <si>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</si>
  <si>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</si>
  <si>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</si>
  <si>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</si>
  <si>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</si>
  <si>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</si>
  <si>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</si>
  <si>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</si>
  <si>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</si>
  <si>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</si>
  <si>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</si>
  <si>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</si>
  <si>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</si>
  <si>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</si>
  <si>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</si>
  <si>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</si>
  <si>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</si>
  <si>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</si>
  <si>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</si>
  <si>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</si>
  <si>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</si>
  <si>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</si>
  <si>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Bath</t>
  </si>
  <si>
    <t>Wells</t>
  </si>
  <si>
    <t>Yeovil</t>
  </si>
  <si>
    <t>Clevedon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</si>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</sst>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28938</xdr:colOff>
      <xdr:row>9</xdr:row>
      <xdr:rowOff>1</xdr:rowOff>
    </xdr:from>
    <xdr:to>
      <xdr:col>23</xdr:col>
      <xdr:colOff>771646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368989" y="1697621"/>
          <a:ext cx="7456024" cy="43511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46164</xdr:colOff>
      <xdr:row>33</xdr:row>
      <xdr:rowOff>108857</xdr:rowOff>
    </xdr:from>
    <xdr:to>
      <xdr:col>18</xdr:col>
      <xdr:colOff>455526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2739734" y="6204857"/>
          <a:ext cx="1190653" cy="3465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257063</xdr:colOff>
      <xdr:row>33</xdr:row>
      <xdr:rowOff>115207</xdr:rowOff>
    </xdr:from>
    <xdr:to>
      <xdr:col>20</xdr:col>
      <xdr:colOff>665737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4513215" y="6211207"/>
          <a:ext cx="1189965" cy="3465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th Dolphin" id="{DE5D3E97-448D-49EB-AE5F-AAFE64EE4A56}" userId="67221b1a86b45a8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7" dT="2026-01-31T18:11:43.46" personId="{DE5D3E97-448D-49EB-AE5F-AAFE64EE4A56}" id="{2B07669F-C4F0-49B7-838A-A23E443F8BC7}">
    <text>10.12 Turn #1</text>
  </threadedComment>
  <threadedComment ref="E50" dT="2026-01-31T18:22:04.14" personId="{DE5D3E97-448D-49EB-AE5F-AAFE64EE4A56}" id="{1FF9D106-356C-4A41-9551-7282B63ADBF6}">
    <text>8.2</text>
  </threadedComment>
  <threadedComment ref="K83" dT="2026-01-31T19:01:08.33" personId="{DE5D3E97-448D-49EB-AE5F-AAFE64EE4A56}" id="{6DDEC496-260A-478B-8121-3FBFCFA90873}">
    <text>10.11 Turn #2</text>
  </threadedComment>
  <threadedComment ref="E87" dT="2026-01-31T19:05:10.85" personId="{DE5D3E97-448D-49EB-AE5F-AAFE64EE4A56}" id="{8E375296-4D0D-486B-BAE2-359CC2B6A83B}">
    <text>10.2 Turn #1</text>
  </threadedComment>
  <threadedComment ref="I87" dT="2026-01-31T19:05:26.02" personId="{DE5D3E97-448D-49EB-AE5F-AAFE64EE4A56}" id="{83461DF2-B883-46BA-BC5F-B332912AEA2F}">
    <text>10.12 Turn #2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4" x14ac:dyDescent="0.3"/>
  <cols>
    <col min="1" max="1" width="14.109375" customWidth="1"/>
  </cols>
  <sheetData>
    <row r="4" spans="1:1" x14ac:dyDescent="0.3">
      <c r="A4" s="25"/>
    </row>
    <row r="5" spans="1:1" x14ac:dyDescent="0.3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8" width="10.109375" customWidth="1"/>
    <col min="9" max="10" width="3.44140625" customWidth="1"/>
    <col min="11" max="11" width="14.33203125" customWidth="1"/>
    <col min="12" max="12" width="24" customWidth="1"/>
    <col min="13" max="13" width="9.5546875" bestFit="1" customWidth="1"/>
    <col min="14" max="14" width="10.44140625" bestFit="1" customWidth="1"/>
    <col min="15" max="15" width="7.5546875" customWidth="1"/>
    <col min="18" max="18" width="11.109375" customWidth="1"/>
  </cols>
  <sheetData>
    <row r="1" spans="1:18" ht="18" x14ac:dyDescent="0.35">
      <c r="A1" s="32" t="s">
        <v>0</v>
      </c>
      <c r="B1" s="32"/>
      <c r="C1" s="32"/>
      <c r="D1" s="32"/>
      <c r="E1" s="32"/>
      <c r="F1" s="32"/>
      <c r="G1" s="32"/>
      <c r="H1" s="32"/>
    </row>
    <row r="2" spans="1:18" x14ac:dyDescent="0.3">
      <c r="K2" s="30" t="s">
        <v>1</v>
      </c>
      <c r="L2" s="33"/>
      <c r="M2" s="33"/>
      <c r="N2" s="33"/>
      <c r="O2" s="33"/>
      <c r="P2" s="31"/>
      <c r="Q2" s="18"/>
      <c r="R2" s="18"/>
    </row>
    <row r="3" spans="1:18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0" width="10.109375" customWidth="1"/>
    <col min="11" max="12" width="3.44140625" customWidth="1"/>
    <col min="13" max="13" width="14.33203125" customWidth="1"/>
    <col min="14" max="14" width="24" customWidth="1"/>
    <col min="15" max="15" width="9.5546875" bestFit="1" customWidth="1"/>
    <col min="16" max="16" width="10.44140625" bestFit="1" customWidth="1"/>
    <col min="17" max="17" width="9.88671875" bestFit="1" customWidth="1"/>
    <col min="18" max="20" width="11.33203125" bestFit="1" customWidth="1"/>
    <col min="21" max="21" width="11.109375" customWidth="1"/>
  </cols>
  <sheetData>
    <row r="1" spans="1:2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20" x14ac:dyDescent="0.3">
      <c r="M2" s="30" t="s">
        <v>1</v>
      </c>
      <c r="N2" s="33"/>
      <c r="O2" s="33"/>
      <c r="P2" s="33"/>
      <c r="Q2" s="33"/>
      <c r="R2" s="33"/>
      <c r="S2" s="31"/>
      <c r="T2" s="18"/>
    </row>
    <row r="3" spans="1:2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zoomScale="79" zoomScaleNormal="79" workbookViewId="0">
      <selection sqref="A1:K1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2" width="10.109375" customWidth="1"/>
    <col min="13" max="14" width="3.44140625" customWidth="1"/>
    <col min="15" max="15" width="6.6640625" bestFit="1" customWidth="1"/>
    <col min="16" max="16" width="16.33203125" bestFit="1" customWidth="1"/>
    <col min="17" max="21" width="11.33203125" bestFit="1" customWidth="1"/>
    <col min="24" max="24" width="11.33203125" customWidth="1"/>
  </cols>
  <sheetData>
    <row r="1" spans="1:24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4" x14ac:dyDescent="0.3">
      <c r="O2" s="30" t="s">
        <v>81</v>
      </c>
      <c r="P2" s="33"/>
      <c r="Q2" s="33"/>
      <c r="R2" s="33"/>
      <c r="S2" s="33"/>
      <c r="T2" s="33"/>
      <c r="U2" s="33"/>
      <c r="V2" s="31"/>
      <c r="W2" s="18"/>
      <c r="X2" s="18"/>
    </row>
    <row r="3" spans="1:24" x14ac:dyDescent="0.3">
      <c r="A3" s="34"/>
      <c r="B3" s="34"/>
      <c r="C3" s="34"/>
      <c r="D3" s="34"/>
      <c r="E3" s="30" t="s">
        <v>3</v>
      </c>
      <c r="F3" s="31"/>
      <c r="G3" s="30" t="s">
        <v>78</v>
      </c>
      <c r="H3" s="31"/>
      <c r="I3" s="30" t="s">
        <v>82</v>
      </c>
      <c r="J3" s="31"/>
      <c r="K3" s="38" t="s">
        <v>84</v>
      </c>
      <c r="L3" s="38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3">
      <c r="A4" s="35"/>
      <c r="B4" s="35"/>
      <c r="C4" s="35"/>
      <c r="D4" s="35"/>
      <c r="E4" s="39" t="s">
        <v>103</v>
      </c>
      <c r="F4" s="40"/>
      <c r="G4" s="39" t="s">
        <v>100</v>
      </c>
      <c r="H4" s="40"/>
      <c r="I4" s="39" t="s">
        <v>102</v>
      </c>
      <c r="J4" s="40"/>
      <c r="K4" s="39" t="s">
        <v>101</v>
      </c>
      <c r="L4" s="40"/>
      <c r="O4" s="17" t="str">
        <f>E3</f>
        <v>Lane 2</v>
      </c>
      <c r="P4" s="17" t="str">
        <f>E4</f>
        <v>Clevedon</v>
      </c>
      <c r="Q4" s="20">
        <f>COUNTIF($F7:$F115,1)</f>
        <v>9</v>
      </c>
      <c r="R4" s="20">
        <f>COUNTIF($F7:$F115,2)</f>
        <v>19</v>
      </c>
      <c r="S4" s="20">
        <f>COUNTIF($F7:$F115,3)</f>
        <v>15</v>
      </c>
      <c r="T4" s="20">
        <f>COUNTIF($F7:$F115,4)</f>
        <v>7</v>
      </c>
      <c r="U4" s="20">
        <f>COUNTIF($F7:$F115,"DQ")</f>
        <v>2</v>
      </c>
      <c r="V4" s="20">
        <f>COUNTIF($F7:$F115,"Too Fast")</f>
        <v>1</v>
      </c>
      <c r="W4" s="2">
        <f>E116</f>
        <v>130</v>
      </c>
      <c r="X4" s="18"/>
    </row>
    <row r="5" spans="1:24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O5" s="17" t="str">
        <f>G3</f>
        <v>Lane 3</v>
      </c>
      <c r="P5" s="17" t="str">
        <f>G4</f>
        <v>Bath</v>
      </c>
      <c r="Q5" s="20">
        <f>COUNTIF($H7:$H115,1)</f>
        <v>19</v>
      </c>
      <c r="R5" s="20">
        <f>COUNTIF($H7:$H115,2)</f>
        <v>14</v>
      </c>
      <c r="S5" s="20">
        <f>COUNTIF($H7:$H115,3)</f>
        <v>11</v>
      </c>
      <c r="T5" s="20">
        <f>COUNTIF($H7:$H115,4)</f>
        <v>7</v>
      </c>
      <c r="U5" s="20">
        <f>COUNTIF($H7:$H115,"DQ")</f>
        <v>0</v>
      </c>
      <c r="V5" s="20">
        <f>COUNTIF($H7:$H115,"Too Fast")</f>
        <v>2</v>
      </c>
      <c r="W5" s="2">
        <f>G116</f>
        <v>147</v>
      </c>
      <c r="X5" s="18"/>
    </row>
    <row r="6" spans="1:24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>
        <v>1.0084490740740739E-3</v>
      </c>
      <c r="F6" s="29"/>
      <c r="G6" s="29">
        <v>9.4189814814814809E-4</v>
      </c>
      <c r="H6" s="29"/>
      <c r="I6" s="29">
        <v>8.9166666666666658E-4</v>
      </c>
      <c r="J6" s="29"/>
      <c r="K6" s="29">
        <v>8.9409722222222223E-4</v>
      </c>
      <c r="L6" s="29"/>
      <c r="O6" s="17" t="str">
        <f>I3</f>
        <v>Lane 4</v>
      </c>
      <c r="P6" s="17" t="str">
        <f>I4</f>
        <v>Yeovil</v>
      </c>
      <c r="Q6" s="20">
        <f>COUNTIF($J7:$J115,1)</f>
        <v>5</v>
      </c>
      <c r="R6" s="20">
        <f>COUNTIF($J7:$J115,2)</f>
        <v>9</v>
      </c>
      <c r="S6" s="20">
        <f>COUNTIF($J7:$J115,3)</f>
        <v>11</v>
      </c>
      <c r="T6" s="20">
        <f>COUNTIF($J7:$J115,4)</f>
        <v>25</v>
      </c>
      <c r="U6" s="20">
        <f>COUNTIF($J7:$J115,"DQ")</f>
        <v>2</v>
      </c>
      <c r="V6" s="20">
        <f>COUNTIF($J7:$J115,"Too Fast")</f>
        <v>1</v>
      </c>
      <c r="W6" s="2">
        <f>I116</f>
        <v>94</v>
      </c>
      <c r="X6" s="18"/>
    </row>
    <row r="7" spans="1:24" x14ac:dyDescent="0.3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0</v>
      </c>
      <c r="L7" s="14" t="str" cm="1">
        <f t="array" ref="L7">_xlfn.IFS(K7=4,1,K7=3,2,K7=2,3,K7=1,4,K6&lt;$D$6,"Too Fast",K6="DQ","DQ")</f>
        <v>Too Fast</v>
      </c>
      <c r="O7" s="17" t="str">
        <f>K3</f>
        <v>Lane 5</v>
      </c>
      <c r="P7" s="17" t="str">
        <f>K4</f>
        <v>Wells</v>
      </c>
      <c r="Q7" s="20">
        <f>COUNTIF($L7:$L115,1)</f>
        <v>20</v>
      </c>
      <c r="R7" s="20">
        <f>COUNTIF($L7:$L115,2)</f>
        <v>11</v>
      </c>
      <c r="S7" s="20">
        <f>COUNTIF($L7:$L115,3)</f>
        <v>13</v>
      </c>
      <c r="T7" s="20">
        <f>COUNTIF($L7:$L115,4)</f>
        <v>5</v>
      </c>
      <c r="U7" s="20">
        <f>COUNTIF($L7:$L115,"DQ")</f>
        <v>1</v>
      </c>
      <c r="V7" s="20">
        <f>COUNTIF($L7:$L115,"Too Fast")</f>
        <v>3</v>
      </c>
      <c r="W7" s="2">
        <f>K116</f>
        <v>144</v>
      </c>
      <c r="X7" s="18"/>
    </row>
    <row r="8" spans="1:24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8.3263888888888884E-4</v>
      </c>
      <c r="F8" s="29"/>
      <c r="G8" s="29">
        <v>8.4675925925925923E-4</v>
      </c>
      <c r="H8" s="29"/>
      <c r="I8" s="29">
        <v>8.5324074074074067E-4</v>
      </c>
      <c r="J8" s="29"/>
      <c r="K8" s="29">
        <v>8.2916666666666664E-4</v>
      </c>
      <c r="L8" s="29"/>
    </row>
    <row r="9" spans="1:24" x14ac:dyDescent="0.3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3</v>
      </c>
      <c r="F9" s="14" cm="1">
        <f t="array" ref="F9">_xlfn.IFS(E9=4,1,E9=3,2,E9=2,3,E9=1,4,E8&lt;$D$8,"Too Fast",E8="DQ","DQ")</f>
        <v>2</v>
      </c>
      <c r="G9" s="11">
        <f t="shared" ref="G9" si="3">IF(G8="DQ",0,IF(G8&lt;$D$8,0,1+COUNTIFS($E$8:$K$8,"DQ")+COUNTIFS($E$8:$K$8,"&lt;"&amp;$D$8)+COUNTIF($E$8:$K$8,"&gt;"&amp;G$8)))</f>
        <v>2</v>
      </c>
      <c r="H9" s="14" cm="1">
        <f t="array" ref="H9">_xlfn.IFS(G9=4,1,G9=3,2,G9=2,3,G9=1,4,G8&lt;$D$8,"Too Fast",G8="DQ","DQ")</f>
        <v>3</v>
      </c>
      <c r="I9" s="11">
        <f t="shared" ref="I9" si="4">IF(I8="DQ",0,IF(I8&lt;$D$8,0,1+COUNTIFS($E$8:$K$8,"DQ")+COUNTIFS($E$8:$K$8,"&lt;"&amp;$D$8)+COUNTIF($E$8:$K$8,"&gt;"&amp;I$8)))</f>
        <v>1</v>
      </c>
      <c r="J9" s="14" cm="1">
        <f t="array" ref="J9">_xlfn.IFS(I9=4,1,I9=3,2,I9=2,3,I9=1,4,I8&lt;$D$8,"Too Fast",I8="DQ","DQ")</f>
        <v>4</v>
      </c>
      <c r="K9" s="11">
        <f t="shared" ref="K9" si="5">IF(K8="DQ",0,IF(K8&lt;$D$8,0,1+COUNTIFS($E$8:$K$8,"DQ")+COUNTIFS($E$8:$K$8,"&lt;"&amp;$D$8)+COUNTIF($E$8:$K$8,"&gt;"&amp;K$8)))</f>
        <v>4</v>
      </c>
      <c r="L9" s="14" cm="1">
        <f t="array" ref="L9">_xlfn.IFS(K9=4,1,K9=3,2,K9=2,3,K9=1,4,K8&lt;$D$8,"Too Fast",K8="DQ","DQ")</f>
        <v>1</v>
      </c>
    </row>
    <row r="10" spans="1:24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8.821759259259259E-4</v>
      </c>
      <c r="F10" s="29"/>
      <c r="G10" s="29">
        <v>9.1655092592592591E-4</v>
      </c>
      <c r="H10" s="29"/>
      <c r="I10" s="29">
        <v>9.3715277777777775E-4</v>
      </c>
      <c r="J10" s="29"/>
      <c r="K10" s="29">
        <v>9.0486111111111117E-4</v>
      </c>
      <c r="L10" s="29"/>
    </row>
    <row r="11" spans="1:24" x14ac:dyDescent="0.3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4</v>
      </c>
      <c r="F11" s="14" cm="1">
        <f t="array" ref="F11">_xlfn.IFS(E11=4,1,E11=3,2,E11=2,3,E11=1,4,E10&lt;$D$10,"Too Fast",E10="DQ","DQ")</f>
        <v>1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1</v>
      </c>
      <c r="J11" s="14" cm="1">
        <f t="array" ref="J11">_xlfn.IFS(I11=4,1,I11=3,2,I11=2,3,I11=1,4,I10&lt;$D$10,"Too Fast",I10="DQ","DQ")</f>
        <v>4</v>
      </c>
      <c r="K11" s="9">
        <f>IF(K10="DQ",0,IF(K10&lt;$D$10,0,1+COUNTIFS($E$10:$K$10,"DQ")+COUNTIFS($E$10:$K$10,"&lt;"&amp;$D$10)+COUNTIF($E$10:$K$10,"&gt;"&amp;K$10)))</f>
        <v>3</v>
      </c>
      <c r="L11" s="14" cm="1">
        <f t="array" ref="L11">_xlfn.IFS(K11=4,1,K11=3,2,K11=2,3,K11=1,4,K10&lt;$D$10,"Too Fast",K10="DQ","DQ")</f>
        <v>2</v>
      </c>
    </row>
    <row r="12" spans="1:24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7.9826388888888883E-4</v>
      </c>
      <c r="F12" s="29"/>
      <c r="G12" s="29">
        <v>7.9675925925925932E-4</v>
      </c>
      <c r="H12" s="29"/>
      <c r="I12" s="29">
        <v>8.7499999999999991E-4</v>
      </c>
      <c r="J12" s="29"/>
      <c r="K12" s="29">
        <v>8.53587962962963E-4</v>
      </c>
      <c r="L12" s="29"/>
    </row>
    <row r="13" spans="1:24" x14ac:dyDescent="0.3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4</v>
      </c>
      <c r="H13" s="14" cm="1">
        <f t="array" ref="H13">_xlfn.IFS(G13=4,1,G13=3,2,G13=2,3,G13=1,4,G12&lt;$D$12,"Too Fast",G12="DQ","DQ")</f>
        <v>1</v>
      </c>
      <c r="I13" s="9">
        <f t="shared" ref="I13" si="7">IF(I12="DQ",0,IF(I12&lt;$D$12,0,1+COUNTIFS($E$12:$K$12,"DQ")+COUNTIFS($E$12:$K$12,"&lt;"&amp;$D$12)+COUNTIF($E$12:$K$12,"&gt;"&amp;I$12)))</f>
        <v>1</v>
      </c>
      <c r="J13" s="14" cm="1">
        <f t="array" ref="J13">_xlfn.IFS(I13=4,1,I13=3,2,I13=2,3,I13=1,4,I12&lt;$D$12,"Too Fast",I12="DQ","DQ")</f>
        <v>4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4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1.7939814814814815E-4</v>
      </c>
      <c r="F14" s="29"/>
      <c r="G14" s="29">
        <v>2.0300925925925925E-4</v>
      </c>
      <c r="H14" s="29"/>
      <c r="I14" s="29">
        <v>2.1053240740740743E-4</v>
      </c>
      <c r="J14" s="29"/>
      <c r="K14" s="29">
        <v>1.7650462962962962E-4</v>
      </c>
      <c r="L14" s="29"/>
    </row>
    <row r="15" spans="1:24" x14ac:dyDescent="0.3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4</v>
      </c>
      <c r="L15" s="14" cm="1">
        <f t="array" ref="L15">_xlfn.IFS(K15=4,1,K15=3,2,K15=2,3,K15=1,4,K14&lt;$D$14,"Too Fast",K14="DQ","DQ")</f>
        <v>1</v>
      </c>
    </row>
    <row r="16" spans="1:24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2.0659722222222225E-4</v>
      </c>
      <c r="F16" s="29"/>
      <c r="G16" s="29">
        <v>1.8009259259259259E-4</v>
      </c>
      <c r="H16" s="29"/>
      <c r="I16" s="29">
        <v>2.0671296296296296E-4</v>
      </c>
      <c r="J16" s="29"/>
      <c r="K16" s="29">
        <v>2.564814814814815E-4</v>
      </c>
      <c r="L16" s="29"/>
    </row>
    <row r="17" spans="1:12" x14ac:dyDescent="0.3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2</v>
      </c>
      <c r="J17" s="14" cm="1">
        <f t="array" ref="J17">_xlfn.IFS(I17=4,1,I17=3,2,I17=2,3,I17=1,4,I16&lt;$D$16,"Too Fast",I16="DQ","DQ")</f>
        <v>3</v>
      </c>
      <c r="K17" s="9">
        <f t="shared" ref="K17" si="14">IF(K16="DQ",0,IF(K16&lt;$D$16,0,1+COUNTIFS($E$16:$K$16,"DQ")+COUNTIFS($E$16:$K$16,"&lt;"&amp;$D$16)+COUNTIF($E$16:$K$16,"&gt;"&amp;K$16)))</f>
        <v>1</v>
      </c>
      <c r="L17" s="14" cm="1">
        <f t="array" ref="L17">_xlfn.IFS(K17=4,1,K17=3,2,K17=2,3,K17=1,4,K16&lt;$D$16,"Too Fast",K16="DQ","DQ")</f>
        <v>4</v>
      </c>
    </row>
    <row r="18" spans="1:12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5.1099537037037031E-4</v>
      </c>
      <c r="F18" s="29"/>
      <c r="G18" s="29">
        <v>4.9849537037037039E-4</v>
      </c>
      <c r="H18" s="29"/>
      <c r="I18" s="29">
        <v>5.2118055555555555E-4</v>
      </c>
      <c r="J18" s="29"/>
      <c r="K18" s="29">
        <v>5.1979166666666667E-4</v>
      </c>
      <c r="L18" s="29"/>
    </row>
    <row r="19" spans="1:12" x14ac:dyDescent="0.3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4</v>
      </c>
      <c r="H19" s="14" cm="1">
        <f t="array" ref="H19">_xlfn.IFS(G19=4,1,G19=3,2,G19=2,3,G19=1,4,G18&lt;$D$18,"Too Fast",G18="DQ","DQ")</f>
        <v>1</v>
      </c>
      <c r="I19" s="9">
        <f t="shared" ref="I19" si="16">IF(I18="DQ",0,IF(I18&lt;$D$18,0,1+COUNTIFS($E$18:$K$18,"DQ")+COUNTIFS($E$18:$K$18,"&lt;"&amp;$D$18)+COUNTIF($E$18:$K$18,"&gt;"&amp;I$18)))</f>
        <v>1</v>
      </c>
      <c r="J19" s="14" cm="1">
        <f t="array" ref="J19">_xlfn.IFS(I19=4,1,I19=3,2,I19=2,3,I19=1,4,I18&lt;$D$18,"Too Fast",I18="DQ","DQ")</f>
        <v>4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6.2210648148148151E-4</v>
      </c>
      <c r="F20" s="29"/>
      <c r="G20" s="29">
        <v>4.7175925925925922E-4</v>
      </c>
      <c r="H20" s="29"/>
      <c r="I20" s="29">
        <v>4.936342592592592E-4</v>
      </c>
      <c r="J20" s="29"/>
      <c r="K20" s="29">
        <v>5.6539351851851857E-4</v>
      </c>
      <c r="L20" s="29"/>
    </row>
    <row r="21" spans="1:12" x14ac:dyDescent="0.3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3</v>
      </c>
      <c r="L21" s="14" cm="1">
        <f t="array" ref="L21">_xlfn.IFS(K21=4,1,K21=3,2,K21=2,3,K21=1,4,K20&lt;$D$20,"Too Fast",K20="DQ","DQ")</f>
        <v>2</v>
      </c>
    </row>
    <row r="22" spans="1:12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4.4918981481481486E-4</v>
      </c>
      <c r="F22" s="29"/>
      <c r="G22" s="29">
        <v>4.2465277777777776E-4</v>
      </c>
      <c r="H22" s="29"/>
      <c r="I22" s="29">
        <v>4.5092592592592596E-4</v>
      </c>
      <c r="J22" s="29"/>
      <c r="K22" s="29">
        <v>3.8703703703703703E-4</v>
      </c>
      <c r="L22" s="29"/>
    </row>
    <row r="23" spans="1:12" x14ac:dyDescent="0.3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4</v>
      </c>
      <c r="H23" s="14" cm="1">
        <f t="array" ref="H23">_xlfn.IFS(G23=4,1,G23=3,2,G23=2,3,G23=1,4,G22&lt;$D$22,"Too Fast",G22="DQ","DQ")</f>
        <v>1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0</v>
      </c>
      <c r="L23" s="14" t="str" cm="1">
        <f t="array" ref="L23">_xlfn.IFS(K23=4,1,K23=3,2,K23=2,3,K23=1,4,K22&lt;$D$22,"Too Fast",K22="DQ","DQ")</f>
        <v>Too Fast</v>
      </c>
    </row>
    <row r="24" spans="1:12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4.0393518518518518E-4</v>
      </c>
      <c r="F24" s="29"/>
      <c r="G24" s="29">
        <v>4.241898148148148E-4</v>
      </c>
      <c r="H24" s="29"/>
      <c r="I24" s="29">
        <v>3.978009259259259E-4</v>
      </c>
      <c r="J24" s="29"/>
      <c r="K24" s="29">
        <v>3.8773148148148147E-4</v>
      </c>
      <c r="L24" s="29"/>
    </row>
    <row r="25" spans="1:12" x14ac:dyDescent="0.3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2</v>
      </c>
      <c r="F25" s="14" cm="1">
        <f t="array" ref="F25">_xlfn.IFS(E25=4,1,E25=3,2,E25=2,3,E25=1,4,E24&lt;$D$24,"Too Fast",E24="DQ","DQ")</f>
        <v>3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4</v>
      </c>
      <c r="L25" s="14" cm="1">
        <f t="array" ref="L25">_xlfn.IFS(K25=4,1,K25=3,2,K25=2,3,K25=1,4,K24&lt;$D$24,"Too Fast",K24="DQ","DQ")</f>
        <v>1</v>
      </c>
    </row>
    <row r="26" spans="1:12" x14ac:dyDescent="0.3">
      <c r="A26" s="2"/>
      <c r="B26" s="12" t="s">
        <v>29</v>
      </c>
      <c r="C26" s="3"/>
      <c r="D26" s="16"/>
      <c r="E26" s="13">
        <f>E7+E9+E11+E13+E15+E17+E19+E21+E23+E25</f>
        <v>29</v>
      </c>
      <c r="F26" s="13"/>
      <c r="G26" s="13">
        <f t="shared" ref="G26:K26" si="27">G7+G9+G11+G13+G15+G17+G19+G21+G23+G25</f>
        <v>27</v>
      </c>
      <c r="H26" s="13"/>
      <c r="I26" s="13">
        <f t="shared" si="27"/>
        <v>16</v>
      </c>
      <c r="J26" s="13"/>
      <c r="K26" s="13">
        <f t="shared" si="27"/>
        <v>23</v>
      </c>
      <c r="L26" s="18"/>
    </row>
    <row r="27" spans="1:12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8.5717592592592594E-4</v>
      </c>
      <c r="F27" s="29"/>
      <c r="G27" s="29">
        <v>8.7222222222222226E-4</v>
      </c>
      <c r="H27" s="29"/>
      <c r="I27" s="29">
        <v>9.8310185185185176E-4</v>
      </c>
      <c r="J27" s="29"/>
      <c r="K27" s="29">
        <v>9.4722222222222224E-4</v>
      </c>
      <c r="L27" s="29"/>
    </row>
    <row r="28" spans="1:12" x14ac:dyDescent="0.3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4</v>
      </c>
      <c r="F28" s="14" cm="1">
        <f t="array" ref="F28">_xlfn.IFS(E28=4,1,E28=3,2,E28=2,3,E28=1,4,E27&lt;$D$27,"Too Fast",E27="DQ","DQ")</f>
        <v>1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1</v>
      </c>
      <c r="J28" s="14" cm="1">
        <f t="array" ref="J28">_xlfn.IFS(I28=4,1,I28=3,2,I28=2,3,I28=1,4,I27&lt;$D$27,"Too Fast",I27="DQ","DQ")</f>
        <v>4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8.2071759259259251E-4</v>
      </c>
      <c r="F29" s="29"/>
      <c r="G29" s="29">
        <v>7.9016203703703703E-4</v>
      </c>
      <c r="H29" s="29"/>
      <c r="I29" s="29">
        <v>7.7395833333333342E-4</v>
      </c>
      <c r="J29" s="29"/>
      <c r="K29" s="29">
        <v>8.0694444444444444E-4</v>
      </c>
      <c r="L29" s="29"/>
    </row>
    <row r="30" spans="1:12" x14ac:dyDescent="0.3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3</v>
      </c>
      <c r="H30" s="14" cm="1">
        <f t="array" ref="H30">_xlfn.IFS(G30=4,1,G30=3,2,G30=2,3,G30=1,4,G29&lt;$D$29,"Too Fast",G29="DQ","DQ")</f>
        <v>2</v>
      </c>
      <c r="I30" s="9">
        <f>IF(I29="DQ",0,IF(I29&lt;$D$29,0,1+COUNTIFS($E$29:$K$29,"DQ")+COUNTIFS($E$29:$K$29,"&lt;"&amp;$D$29)+COUNTIF($E$29:$K$29,"&gt;"&amp;I$29)))</f>
        <v>4</v>
      </c>
      <c r="J30" s="14" cm="1">
        <f t="array" ref="J30">_xlfn.IFS(I30=4,1,I30=3,2,I30=2,3,I30=1,4,I29&lt;$D$29,"Too Fast",I29="DQ","DQ")</f>
        <v>1</v>
      </c>
      <c r="K30" s="9">
        <f>IF(K29="DQ",0,IF(K29&lt;$D$29,0,1+COUNTIFS($E$29:$K$29,"DQ")+COUNTIFS($E$29:$K$29,"&lt;"&amp;$D$29)+COUNTIF($E$29:$K$29,"&gt;"&amp;K$29)))</f>
        <v>2</v>
      </c>
      <c r="L30" s="14" cm="1">
        <f t="array" ref="L30">_xlfn.IFS(K30=4,1,K30=3,2,K30=2,3,K30=1,4,K29&lt;$D$29,"Too Fast",K29="DQ","DQ")</f>
        <v>3</v>
      </c>
    </row>
    <row r="31" spans="1:12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9.2268518518518513E-4</v>
      </c>
      <c r="F31" s="29"/>
      <c r="G31" s="27">
        <v>9.5104166666666666E-4</v>
      </c>
      <c r="H31" s="28"/>
      <c r="I31" s="27">
        <v>9.8761574074074073E-4</v>
      </c>
      <c r="J31" s="28"/>
      <c r="K31" s="27">
        <v>8.6180555555555565E-4</v>
      </c>
      <c r="L31" s="28"/>
    </row>
    <row r="32" spans="1:12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3</v>
      </c>
      <c r="F32" s="14" cm="1">
        <f t="array" ref="F32">_xlfn.IFS(E32=4,1,E32=3,2,E32=2,3,E32=1,4,E31&lt;$D$31,"Too Fast",E31="DQ","DQ")</f>
        <v>2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_xlfn.IFS(G32=4,1,G32=3,2,G32=2,3,G32=1,4,G31&lt;$D$31,"Too Fast",G31="DQ","DQ")</f>
        <v>3</v>
      </c>
      <c r="I32" s="9">
        <f>IF(I31="DQ",0,IF(I31&lt;$D$31,0,1+COUNTIFS($E$31:$T$31,"DQ")+COUNTIFS($E$31:$T$31,"&lt;"&amp;$D$31)+COUNTIF($E$31:$T$31,"&gt;"&amp;I$31)))</f>
        <v>1</v>
      </c>
      <c r="J32" s="14" cm="1">
        <f t="array" ref="J32">_xlfn.IFS(I32=4,1,I32=3,2,I32=2,3,I32=1,4,I31&lt;$D$31,"Too Fast",I31="DQ","DQ")</f>
        <v>4</v>
      </c>
      <c r="K32" s="9">
        <f>IF(K31="DQ",0,IF(K31&lt;$D$31,0,1+COUNTIFS($E$31:$T$31,"DQ")+COUNTIFS($E$31:$T$31,"&lt;"&amp;$D$31)+COUNTIF($E$31:$T$31,"&gt;"&amp;K$31)))</f>
        <v>4</v>
      </c>
      <c r="L32" s="14" cm="1">
        <f t="array" ref="L32">_xlfn.IFS(K32=4,1,K32=3,2,K32=2,3,K32=1,4,K31&lt;$D$31,"Too Fast",K31="DQ","DQ")</f>
        <v>1</v>
      </c>
    </row>
    <row r="33" spans="1:2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9.6064814814814819E-4</v>
      </c>
      <c r="F33" s="29"/>
      <c r="G33" s="29">
        <v>9.167824074074075E-4</v>
      </c>
      <c r="H33" s="29"/>
      <c r="I33" s="29">
        <v>9.8738425925925925E-4</v>
      </c>
      <c r="J33" s="29"/>
      <c r="K33" s="29">
        <v>1.0532407407407407E-3</v>
      </c>
      <c r="L33" s="29"/>
    </row>
    <row r="34" spans="1:21" x14ac:dyDescent="0.3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2</v>
      </c>
      <c r="J34" s="14" cm="1">
        <f t="array" ref="J34">_xlfn.IFS(I34=4,1,I34=3,2,I34=2,3,I34=1,4,I33&lt;$D$33,"Too Fast",I33="DQ","DQ")</f>
        <v>3</v>
      </c>
      <c r="K34" s="9">
        <f>IF(K33="DQ",0,IF(K33&lt;D33,0,1+COUNTIFS($E$33:$K$33,"DQ")+COUNTIFS($E$33:$K$33,"&lt;"&amp;D33)+COUNTIF($E$33:$K$33,"&gt;"&amp;K$33)))</f>
        <v>1</v>
      </c>
      <c r="L34" s="14" cm="1">
        <f t="array" ref="L34">_xlfn.IFS(K34=4,1,K34=3,2,K34=2,3,K34=1,4,K33&lt;$D$33,"Too Fast",K33="DQ","DQ")</f>
        <v>4</v>
      </c>
    </row>
    <row r="35" spans="1:2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7.4004629629629626E-4</v>
      </c>
      <c r="F35" s="29"/>
      <c r="G35" s="29">
        <v>7.3935185185185193E-4</v>
      </c>
      <c r="H35" s="29"/>
      <c r="I35" s="29">
        <v>7.6423611111111115E-4</v>
      </c>
      <c r="J35" s="29"/>
      <c r="K35" s="29">
        <v>7.6134259259259265E-4</v>
      </c>
      <c r="L35" s="29"/>
    </row>
    <row r="36" spans="1:21" x14ac:dyDescent="0.3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4</v>
      </c>
      <c r="H36" s="14" cm="1">
        <f t="array" ref="H36">_xlfn.IFS(G36=4,1,G36=3,2,G36=2,3,G36=1,4,G35&lt;$D$35,"Too Fast",G35="DQ","DQ")</f>
        <v>1</v>
      </c>
      <c r="I36" s="9">
        <f>IF(I35="DQ",0,IF(I35&lt;$D$35,0,1+COUNTIFS($E$35:$K$35,"DQ")+COUNTIFS($E$35:$K$35,"&lt;"&amp;$D$35)+COUNTIF($E$35:$K$35,"&gt;"&amp;I35)))</f>
        <v>1</v>
      </c>
      <c r="J36" s="14" cm="1">
        <f t="array" ref="J36">_xlfn.IFS(I36=4,1,I36=3,2,I36=2,3,I36=1,4,I35&lt;$D$35,"Too Fast",I35="DQ","DQ")</f>
        <v>4</v>
      </c>
      <c r="K36" s="9">
        <f>IF(K35="DQ",0,IF(K35&lt;$D$35,0,1+COUNTIFS($E$35:$K$35,"DQ")+COUNTIFS($E$35:$K$35,"&lt;"&amp;$D$35)+COUNTIF($E$35:$K$35,"&gt;"&amp;K35)))</f>
        <v>2</v>
      </c>
      <c r="L36" s="14" cm="1">
        <f t="array" ref="L36">_xlfn.IFS(K36=4,1,K36=3,2,K36=2,3,K36=1,4,K35&lt;$D$35,"Too Fast",K35="DQ","DQ")</f>
        <v>3</v>
      </c>
    </row>
    <row r="37" spans="1:2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8.5254629629629623E-4</v>
      </c>
      <c r="F37" s="29"/>
      <c r="G37" s="29">
        <v>7.0543981481481488E-4</v>
      </c>
      <c r="H37" s="29"/>
      <c r="I37" s="29" t="s">
        <v>104</v>
      </c>
      <c r="J37" s="29"/>
      <c r="K37" s="29">
        <v>7.5520833333333332E-4</v>
      </c>
      <c r="L37" s="29"/>
    </row>
    <row r="38" spans="1:21" x14ac:dyDescent="0.3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2</v>
      </c>
      <c r="F38" s="14" cm="1">
        <f t="array" ref="F38">_xlfn.IFS(E38=4,1,E38=3,2,E38=2,3,E38=1,4,E37&lt;$D$37,"Too Fast",E37="DQ","DQ")</f>
        <v>3</v>
      </c>
      <c r="G38" s="9">
        <f>IF(G37="DQ",0,IF(G37&lt;$D$37,0,1+COUNTIFS($E$37:$K$37,"DQ")+COUNTIFS($E$37:$K$37,"&lt;"&amp;$D$37)+COUNTIF($E$37:$K$37,"&gt;"&amp;G37)))</f>
        <v>4</v>
      </c>
      <c r="H38" s="14" cm="1">
        <f t="array" ref="H38">_xlfn.IFS(G38=4,1,G38=3,2,G38=2,3,G38=1,4,G37&lt;$D$37,"Too Fast",G37="DQ","DQ")</f>
        <v>1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DQ</v>
      </c>
      <c r="K38" s="9">
        <f>IF(K37="DQ",0,IF(K37&lt;$D$37,0,1+COUNTIFS($E$37:$K$37,"DQ")+COUNTIFS($E$37:$K$37,"&lt;"&amp;$D$37)+COUNTIF($E$37:$K$37,"&gt;"&amp;K37)))</f>
        <v>3</v>
      </c>
      <c r="L38" s="14" cm="1">
        <f t="array" ref="L38">_xlfn.IFS(K38=4,1,K38=3,2,K38=2,3,K38=1,4,K37&lt;$D$37,"Too Fast",K37="DQ","DQ")</f>
        <v>2</v>
      </c>
      <c r="R38" s="23"/>
    </row>
    <row r="39" spans="1:2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5.1319444444444448E-4</v>
      </c>
      <c r="F39" s="29"/>
      <c r="G39" s="29">
        <v>5.2893518518518524E-4</v>
      </c>
      <c r="H39" s="29"/>
      <c r="I39" s="29">
        <v>4.8101851851851854E-4</v>
      </c>
      <c r="J39" s="29"/>
      <c r="K39" s="29">
        <v>4.6805555555555554E-4</v>
      </c>
      <c r="L39" s="29"/>
      <c r="R39" s="23"/>
      <c r="S39" s="23"/>
      <c r="T39" s="23"/>
      <c r="U39" s="23"/>
    </row>
    <row r="40" spans="1:21" x14ac:dyDescent="0.3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2</v>
      </c>
      <c r="F40" s="14" cm="1">
        <f t="array" ref="F40">_xlfn.IFS(E40=4,1,E40=3,2,E40=2,3,E40=1,4,E39&lt;$D$39,"Too Fast",E39="DQ","DQ")</f>
        <v>3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3</v>
      </c>
      <c r="J40" s="14" cm="1">
        <f t="array" ref="J40">_xlfn.IFS(I40=4,1,I40=3,2,I40=2,3,I40=1,4,I39&lt;$D$39,"Too Fast",I39="DQ","DQ")</f>
        <v>2</v>
      </c>
      <c r="K40" s="9">
        <f>IF(K39="DQ",0,IF(K39&lt;$D$39,0,1+COUNTIFS($E$39:$K$39,"DQ")+COUNTIFS($E$39:$K$39,"&lt;"&amp;$D$39)+COUNTIF($E$39:$K$39,"&gt;"&amp;K39)))</f>
        <v>4</v>
      </c>
      <c r="L40" s="14" cm="1">
        <f t="array" ref="L40">_xlfn.IFS(K40=4,1,K40=3,2,K40=2,3,K40=1,4,K39&lt;$D$39,"Too Fast",K39="DQ","DQ")</f>
        <v>1</v>
      </c>
      <c r="Q40" s="24"/>
    </row>
    <row r="41" spans="1:2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4.9108796296296292E-4</v>
      </c>
      <c r="F41" s="29"/>
      <c r="G41" s="29">
        <v>4.5995370370370374E-4</v>
      </c>
      <c r="H41" s="29"/>
      <c r="I41" s="29">
        <v>4.4768518518518519E-4</v>
      </c>
      <c r="J41" s="29"/>
      <c r="K41" s="29">
        <v>4.4490740740740737E-4</v>
      </c>
      <c r="L41" s="29"/>
      <c r="P41" s="23"/>
      <c r="Q41" s="24"/>
    </row>
    <row r="42" spans="1:21" x14ac:dyDescent="0.3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1</v>
      </c>
      <c r="F42" s="14" cm="1">
        <f t="array" ref="F42">_xlfn.IFS(E42=4,1,E42=3,2,E42=2,3,E42=1,4,E41&lt;$D$41,"Too Fast",E41="DQ","DQ")</f>
        <v>4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3</v>
      </c>
      <c r="J42" s="14" cm="1">
        <f t="array" ref="J42">_xlfn.IFS(I42=4,1,I42=3,2,I42=2,3,I42=1,4,I41&lt;$D$41,"Too Fast",I41="DQ","DQ")</f>
        <v>2</v>
      </c>
      <c r="K42" s="9">
        <f>IF(K41="DQ",0,IF(K41&lt;$D$41,0,1+COUNTIFS($E$41:$K$41,"DQ")+COUNTIFS($E$41:$K$41,"&lt;"&amp;$D$41)+COUNTIF($E$41:$K$41,"&gt;"&amp;K41)))</f>
        <v>4</v>
      </c>
      <c r="L42" s="14" cm="1">
        <f t="array" ref="L42">_xlfn.IFS(K42=4,1,K42=3,2,K42=2,3,K42=1,4,K41&lt;$D$41,"Too Fast",K41="DQ","DQ")</f>
        <v>1</v>
      </c>
      <c r="P42" s="23"/>
      <c r="Q42" s="24"/>
    </row>
    <row r="43" spans="1:2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8.1851851851851855E-4</v>
      </c>
      <c r="F43" s="29"/>
      <c r="G43" s="29">
        <v>9.0381944444444451E-4</v>
      </c>
      <c r="H43" s="29"/>
      <c r="I43" s="29">
        <v>9.3703703703703711E-4</v>
      </c>
      <c r="J43" s="29"/>
      <c r="K43" s="29">
        <v>9.7002314814814813E-4</v>
      </c>
      <c r="L43" s="29"/>
      <c r="P43" s="23"/>
      <c r="Q43" s="24"/>
    </row>
    <row r="44" spans="1:21" x14ac:dyDescent="0.3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4</v>
      </c>
      <c r="F44" s="14" cm="1">
        <f t="array" ref="F44">_xlfn.IFS(E44=4,1,E44=3,2,E44=2,3,E44=1,4,E43&lt;$D$43,"Too Fast",E43="DQ","DQ")</f>
        <v>1</v>
      </c>
      <c r="G44" s="9">
        <f>IF(G43="DQ",0,IF(G43&lt;$D$43,0,1+COUNTIFS($E$43:$K$43,"DQ")+COUNTIFS($E$43:$K$43,"&lt;"&amp;$D$43)+COUNTIF($E$43:$K$43,"&gt;"&amp;G43)))</f>
        <v>3</v>
      </c>
      <c r="H44" s="14" cm="1">
        <f t="array" ref="H44">_xlfn.IFS(G44=4,1,G44=3,2,G44=2,3,G44=1,4,G43&lt;$D$43,"Too Fast",G43="DQ","DQ")</f>
        <v>2</v>
      </c>
      <c r="I44" s="9">
        <f>IF(I43="DQ",0,IF(I43&lt;$D$43,0,1+COUNTIFS($E$43:$K$43,"DQ")+COUNTIFS($E$43:$K$43,"&lt;"&amp;$D$43)+COUNTIF($E$43:$K$43,"&gt;"&amp;I43)))</f>
        <v>2</v>
      </c>
      <c r="J44" s="14" cm="1">
        <f t="array" ref="J44">_xlfn.IFS(I44=4,1,I44=3,2,I44=2,3,I44=1,4,I43&lt;$D$43,"Too Fast",I43="DQ","DQ")</f>
        <v>3</v>
      </c>
      <c r="K44" s="9">
        <f>IF(K43="DQ",0,IF(K43&lt;$D$43,0,1+COUNTIFS($E$43:$K$43,"DQ")+COUNTIFS($E$43:$K$43,"&lt;"&amp;$D$43)+COUNTIF($E$43:$K$43,"&gt;"&amp;K43)))</f>
        <v>1</v>
      </c>
      <c r="L44" s="14" cm="1">
        <f t="array" ref="L44">_xlfn.IFS(K44=4,1,K44=3,2,K44=2,3,K44=1,4,K43&lt;$D$43,"Too Fast",K43="DQ","DQ")</f>
        <v>4</v>
      </c>
      <c r="Q44" s="24"/>
    </row>
    <row r="45" spans="1:2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8.4918981481481488E-4</v>
      </c>
      <c r="F45" s="29"/>
      <c r="G45" s="29">
        <v>8.8020833333333332E-4</v>
      </c>
      <c r="H45" s="29"/>
      <c r="I45" s="29">
        <v>7.9062499999999999E-4</v>
      </c>
      <c r="J45" s="29"/>
      <c r="K45" s="29">
        <v>8.2569444444444444E-4</v>
      </c>
      <c r="L45" s="29"/>
      <c r="Q45" s="24"/>
    </row>
    <row r="46" spans="1:21" x14ac:dyDescent="0.3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2</v>
      </c>
      <c r="F46" s="14" cm="1">
        <f t="array" ref="F46">_xlfn.IFS(E46=4,1,E46=3,2,E46=2,3,E46=1,4,E45&lt;$D$45,"Too Fast",E45="DQ","DQ")</f>
        <v>3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Q46" s="24"/>
    </row>
    <row r="47" spans="1:21" x14ac:dyDescent="0.3">
      <c r="A47" s="2"/>
      <c r="B47" s="12" t="s">
        <v>40</v>
      </c>
      <c r="C47" s="2"/>
      <c r="D47" s="16"/>
      <c r="E47" s="19">
        <f>E26+E28+E30+E32+E34+E36+E38+E40+E42+E44+E46</f>
        <v>54</v>
      </c>
      <c r="F47" s="19"/>
      <c r="G47" s="19">
        <f t="shared" ref="G47:K47" si="31">G26+G28+G30+G32+G34+G36+G38+G40+G42+G44+G46</f>
        <v>54</v>
      </c>
      <c r="H47" s="19"/>
      <c r="I47" s="19">
        <f t="shared" si="31"/>
        <v>37</v>
      </c>
      <c r="J47" s="19"/>
      <c r="K47" s="19">
        <f t="shared" si="31"/>
        <v>49</v>
      </c>
      <c r="L47" s="18"/>
      <c r="Q47" s="24"/>
    </row>
    <row r="48" spans="1:2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1.957175925925926E-4</v>
      </c>
      <c r="F48" s="29"/>
      <c r="G48" s="29">
        <v>2.0358796296296295E-4</v>
      </c>
      <c r="H48" s="29"/>
      <c r="I48" s="29">
        <v>2.4351851851851851E-4</v>
      </c>
      <c r="J48" s="29"/>
      <c r="K48" s="29">
        <v>1.9317129629629632E-4</v>
      </c>
      <c r="L48" s="29"/>
      <c r="Q48" s="24"/>
    </row>
    <row r="49" spans="1:17" x14ac:dyDescent="0.3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2</v>
      </c>
      <c r="H49" s="14" cm="1">
        <f t="array" ref="H49">_xlfn.IFS(G49=4,1,G49=3,2,G49=2,3,G49=1,4,G48&lt;$D$48,"Too Fast",G48="DQ","DQ")</f>
        <v>3</v>
      </c>
      <c r="I49" s="9">
        <f>IF(I48="DQ",0,IF(I48&lt;$D$48,0,1+COUNTIFS($E$48:$K$48,"DQ")+COUNTIFS($E$48:$K$48,"&lt;"&amp;$D$48)+COUNTIF($E$48:$K$48,"&gt;"&amp;I48)))</f>
        <v>1</v>
      </c>
      <c r="J49" s="14" cm="1">
        <f t="array" ref="J49">_xlfn.IFS(I49=4,1,I49=3,2,I49=2,3,I49=1,4,I48&lt;$D$48,"Too Fast",I48="DQ","DQ")</f>
        <v>4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 t="s">
        <v>104</v>
      </c>
      <c r="F50" s="29"/>
      <c r="G50" s="29">
        <v>2.175925925925926E-4</v>
      </c>
      <c r="H50" s="29"/>
      <c r="I50" s="29">
        <v>2.2430555555555555E-4</v>
      </c>
      <c r="J50" s="29"/>
      <c r="K50" s="29">
        <v>2.4201388888888889E-4</v>
      </c>
      <c r="L50" s="29"/>
      <c r="Q50" s="24"/>
    </row>
    <row r="51" spans="1:17" x14ac:dyDescent="0.3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0</v>
      </c>
      <c r="F51" s="14" t="str" cm="1">
        <f t="array" ref="F51">_xlfn.IFS(E51=4,1,E51=3,2,E51=2,3,E51=1,4,E50&lt;$D$50,"Too Fast",E50="DQ","DQ")</f>
        <v>DQ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3</v>
      </c>
      <c r="J51" s="14" cm="1">
        <f t="array" ref="J51">_xlfn.IFS(I51=4,1,I51=3,2,I51=2,3,I51=1,4,I50&lt;$D$50,"Too Fast",I50="DQ","DQ")</f>
        <v>2</v>
      </c>
      <c r="K51" s="9">
        <f>IF(K50="DQ",0,IF(K50&lt;$D$50,0,1+COUNTIFS($E$50:$K$50,"DQ")+COUNTIFS($E$50:$K$50,"&lt;"&amp;$D$50)+COUNTIF($E$50:$K$50,"&gt;"&amp;K50)))</f>
        <v>2</v>
      </c>
      <c r="L51" s="14" cm="1">
        <f t="array" ref="L51">_xlfn.IFS(K51=4,1,K51=3,2,K51=2,3,K51=1,4,K50&lt;$D$50,"Too Fast",K50="DQ","DQ")</f>
        <v>3</v>
      </c>
      <c r="Q51" s="24"/>
    </row>
    <row r="52" spans="1:17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3.6898148148148147E-4</v>
      </c>
      <c r="F52" s="29"/>
      <c r="G52" s="29">
        <v>3.9131944444444446E-4</v>
      </c>
      <c r="H52" s="29"/>
      <c r="I52" s="29">
        <v>3.979166666666667E-4</v>
      </c>
      <c r="J52" s="29"/>
      <c r="K52" s="29">
        <v>4.6944444444444448E-4</v>
      </c>
      <c r="L52" s="29"/>
      <c r="Q52" s="24"/>
    </row>
    <row r="53" spans="1:17" x14ac:dyDescent="0.3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4</v>
      </c>
      <c r="F53" s="14" cm="1">
        <f t="array" ref="F53">_xlfn.IFS(E53=4,1,E53=3,2,E53=2,3,E53=1,4,E52&lt;$D$52,"Too Fast",E52="DQ","DQ")</f>
        <v>1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1</v>
      </c>
      <c r="L53" s="14" cm="1">
        <f t="array" ref="L53">_xlfn.IFS(K53=4,1,K53=3,2,K53=2,3,K53=1,4,K52&lt;$D$52,"Too Fast",K52="DQ","DQ")</f>
        <v>4</v>
      </c>
      <c r="Q53" s="24"/>
    </row>
    <row r="54" spans="1:17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3.896990740740741E-4</v>
      </c>
      <c r="F54" s="29"/>
      <c r="G54" s="29">
        <v>3.8958333333333331E-4</v>
      </c>
      <c r="H54" s="29"/>
      <c r="I54" s="29">
        <v>3.7037037037037035E-4</v>
      </c>
      <c r="J54" s="29"/>
      <c r="K54" s="29">
        <v>4.0752314814814818E-4</v>
      </c>
      <c r="L54" s="29"/>
      <c r="Q54" s="24"/>
    </row>
    <row r="55" spans="1:17" x14ac:dyDescent="0.3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3</v>
      </c>
      <c r="H55" s="14" cm="1">
        <f t="array" ref="H55">_xlfn.IFS(G55=4,1,G55=3,2,G55=2,3,G55=1,4,G54&lt;$D$54,"Too Fast",G54="DQ","DQ")</f>
        <v>2</v>
      </c>
      <c r="I55" s="9">
        <f>IF(I54="DQ",0,IF(I54&lt;$D$54,0,1+COUNTIFS($E$54:$K$54,"DQ")+COUNTIFS($E$54:$K$54,"&lt;"&amp;$D$54)+COUNTIF($E$54:$K$54,"&gt;"&amp;I54)))</f>
        <v>4</v>
      </c>
      <c r="J55" s="14" cm="1">
        <f t="array" ref="J55">_xlfn.IFS(I55=4,1,I55=3,2,I55=2,3,I55=1,4,I54&lt;$D$54,"Too Fast",I54="DQ","DQ")</f>
        <v>1</v>
      </c>
      <c r="K55" s="9">
        <f>IF(K54="DQ",0,IF(K54&lt;$D$54,0,1+COUNTIFS($E$54:$K$54,"DQ")+COUNTIFS($E$54:$K$54,"&lt;"&amp;$D$54)+COUNTIF($E$54:$K$54,"&gt;"&amp;K54)))</f>
        <v>1</v>
      </c>
      <c r="L55" s="14" cm="1">
        <f t="array" ref="L55">_xlfn.IFS(K55=4,1,K55=3,2,K55=2,3,K55=1,4,K54&lt;$D$54,"Too Fast",K54="DQ","DQ")</f>
        <v>4</v>
      </c>
      <c r="Q55" s="24"/>
    </row>
    <row r="56" spans="1:17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1.7693287037037037E-3</v>
      </c>
      <c r="F56" s="29"/>
      <c r="G56" s="29">
        <v>1.8013888888888888E-3</v>
      </c>
      <c r="H56" s="29"/>
      <c r="I56" s="29">
        <v>1.7667824074074075E-3</v>
      </c>
      <c r="J56" s="29"/>
      <c r="K56" s="29">
        <v>1.6952546296296297E-3</v>
      </c>
      <c r="L56" s="29"/>
      <c r="Q56" s="24"/>
    </row>
    <row r="57" spans="1:17" x14ac:dyDescent="0.3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1</v>
      </c>
      <c r="H57" s="14" cm="1">
        <f t="array" ref="H57">_xlfn.IFS(G57=4,1,G57=3,2,G57=2,3,G57=1,4,G56&lt;$D$56,"Too Fast",G56="DQ","DQ")</f>
        <v>4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4</v>
      </c>
      <c r="L57" s="14" cm="1">
        <f t="array" ref="L57">_xlfn.IFS(K57=4,1,K57=3,2,K57=2,3,K57=1,4,K56&lt;$D$56,"Too Fast",K56="DQ","DQ")</f>
        <v>1</v>
      </c>
      <c r="Q57" s="24"/>
    </row>
    <row r="58" spans="1:17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1.6019675925925925E-3</v>
      </c>
      <c r="F58" s="29"/>
      <c r="G58" s="29">
        <v>1.5952546296296294E-3</v>
      </c>
      <c r="H58" s="29"/>
      <c r="I58" s="29">
        <v>1.650462962962963E-3</v>
      </c>
      <c r="J58" s="29"/>
      <c r="K58" s="29">
        <v>1.5606481481481482E-3</v>
      </c>
      <c r="L58" s="29"/>
      <c r="Q58" s="24"/>
    </row>
    <row r="59" spans="1:17" x14ac:dyDescent="0.3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1</v>
      </c>
      <c r="J59" s="14" cm="1">
        <f t="array" ref="J59">_xlfn.IFS(I59=4,1,I59=3,2,I59=2,3,I59=1,4,I58&lt;$D$58,"Too Fast",I58="DQ","DQ")</f>
        <v>4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Q59" s="24"/>
    </row>
    <row r="60" spans="1:17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1.6103009259259258E-3</v>
      </c>
      <c r="F60" s="29"/>
      <c r="G60" s="29">
        <v>1.6101851851851852E-3</v>
      </c>
      <c r="H60" s="29"/>
      <c r="I60" s="29">
        <v>1.709375E-3</v>
      </c>
      <c r="J60" s="29"/>
      <c r="K60" s="29">
        <v>1.6037037037037038E-3</v>
      </c>
      <c r="L60" s="29"/>
      <c r="Q60" s="24"/>
    </row>
    <row r="61" spans="1:17" x14ac:dyDescent="0.3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1</v>
      </c>
      <c r="J61" s="14" cm="1">
        <f t="array" ref="J61">_xlfn.IFS(I61=4,1,I61=3,2,I61=2,3,I61=1,4,I60&lt;$D$60,"Too Fast",I60="DQ","DQ")</f>
        <v>4</v>
      </c>
      <c r="K61" s="9">
        <f>IF(K60="DQ",0,IF(K60&lt;$D$60,0,1+COUNTIFS($E$60:$K$60,"DQ")+COUNTIFS($E$60:$K$60,"&lt;"&amp;$D$60)+COUNTIF($E$60:$K$60,"&gt;"&amp;K60)))</f>
        <v>4</v>
      </c>
      <c r="L61" s="14" cm="1">
        <f t="array" ref="L61">_xlfn.IFS(K61=4,1,K61=3,2,K61=2,3,K61=1,4,K60&lt;$D$60,"Too Fast",K60="DQ","DQ")</f>
        <v>1</v>
      </c>
      <c r="Q61" s="24"/>
    </row>
    <row r="62" spans="1:17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1.4797453703703702E-3</v>
      </c>
      <c r="F62" s="29"/>
      <c r="G62" s="29">
        <v>1.4864583333333333E-3</v>
      </c>
      <c r="H62" s="29"/>
      <c r="I62" s="29">
        <v>1.4681712962962962E-3</v>
      </c>
      <c r="J62" s="29"/>
      <c r="K62" s="29">
        <v>1.4399305555555554E-3</v>
      </c>
      <c r="L62" s="29"/>
      <c r="Q62" s="24"/>
    </row>
    <row r="63" spans="1:17" x14ac:dyDescent="0.3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2</v>
      </c>
      <c r="F63" s="14" cm="1">
        <f t="array" ref="F63">_xlfn.IFS(E63=4,1,E63=3,2,E63=2,3,E63=1,4,E62&lt;$D$62,"Too Fast",E62="DQ","DQ")</f>
        <v>3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3</v>
      </c>
      <c r="J63" s="14" cm="1">
        <f t="array" ref="J63">_xlfn.IFS(I63=4,1,I63=3,2,I63=2,3,I63=1,4,I62&lt;$D$62,"Too Fast",I62="DQ","DQ")</f>
        <v>2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Q63" s="24"/>
    </row>
    <row r="64" spans="1:17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2.1956018518518518E-4</v>
      </c>
      <c r="F64" s="29"/>
      <c r="G64" s="29">
        <v>2.3784722222222222E-4</v>
      </c>
      <c r="H64" s="29"/>
      <c r="I64" s="29">
        <v>2.3252314814814815E-4</v>
      </c>
      <c r="J64" s="29"/>
      <c r="K64" s="29">
        <v>2.2604166666666668E-4</v>
      </c>
      <c r="L64" s="29"/>
      <c r="Q64" s="24"/>
    </row>
    <row r="65" spans="1:17" x14ac:dyDescent="0.3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1</v>
      </c>
      <c r="H65" s="14" cm="1">
        <f t="array" ref="H65">_xlfn.IFS(G65=4,1,G65=3,2,G65=2,3,G65=1,4,G64&lt;$D$64,"Too Fast",G64="DQ","DQ")</f>
        <v>4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Q65" s="24"/>
    </row>
    <row r="66" spans="1:17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2.3113425925925924E-4</v>
      </c>
      <c r="F66" s="29"/>
      <c r="G66" s="29">
        <v>2.3506944444444443E-4</v>
      </c>
      <c r="H66" s="29"/>
      <c r="I66" s="29">
        <v>2.74537037037037E-4</v>
      </c>
      <c r="J66" s="29"/>
      <c r="K66" s="29">
        <v>2.2719907407407405E-4</v>
      </c>
      <c r="L66" s="29"/>
      <c r="Q66" s="24"/>
    </row>
    <row r="67" spans="1:17" x14ac:dyDescent="0.3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3</v>
      </c>
      <c r="F67" s="14" cm="1">
        <f t="array" ref="F67">_xlfn.IFS(E67=4,1,E67=3,2,E67=2,3,E67=1,4,E66&lt;$D$66,"Too Fast",E66="DQ","DQ")</f>
        <v>2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4</v>
      </c>
      <c r="L67" s="14" cm="1">
        <f t="array" ref="L67">_xlfn.IFS(K67=4,1,K67=3,2,K67=2,3,K67=1,4,K66&lt;$D$66,"Too Fast",K66="DQ","DQ")</f>
        <v>1</v>
      </c>
      <c r="Q67" s="24"/>
    </row>
    <row r="68" spans="1:17" x14ac:dyDescent="0.3">
      <c r="A68" s="2"/>
      <c r="B68" s="12" t="s">
        <v>52</v>
      </c>
      <c r="C68" s="3"/>
      <c r="D68" s="16"/>
      <c r="E68" s="19">
        <f>E47+E49+E51+E53+E55+E57+E59+E61+E63+E65+E67</f>
        <v>78</v>
      </c>
      <c r="F68" s="19"/>
      <c r="G68" s="19">
        <f t="shared" ref="G68:K68" si="32">G47+G49+G51+G53+G55+G57+G59+G61+G63+G65+G67</f>
        <v>77</v>
      </c>
      <c r="H68" s="19"/>
      <c r="I68" s="19">
        <f t="shared" si="32"/>
        <v>58</v>
      </c>
      <c r="J68" s="19"/>
      <c r="K68" s="19">
        <f t="shared" si="32"/>
        <v>80</v>
      </c>
      <c r="L68" s="18"/>
      <c r="Q68" s="24"/>
    </row>
    <row r="69" spans="1:17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4.6655092592592598E-4</v>
      </c>
      <c r="F69" s="28"/>
      <c r="G69" s="27">
        <v>4.3298611111111109E-4</v>
      </c>
      <c r="H69" s="28"/>
      <c r="I69" s="27">
        <v>4.5613425925925921E-4</v>
      </c>
      <c r="J69" s="28"/>
      <c r="K69" s="27">
        <v>4.2499999999999998E-4</v>
      </c>
      <c r="L69" s="28"/>
      <c r="Q69" s="24"/>
    </row>
    <row r="70" spans="1:17" x14ac:dyDescent="0.3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1</v>
      </c>
      <c r="F70" s="14" cm="1">
        <f t="array" ref="F70">_xlfn.IFS(E70=4,1,E70=3,2,E70=2,3,E70=1,4,E69&lt;$D$69,"Too Fast",E69="DQ","DQ")</f>
        <v>4</v>
      </c>
      <c r="G70" s="9">
        <f>IF(G69="DQ",0,IF(G69&lt;$D$69,0,1+COUNTIFS($E$69:$K$69,"DQ")+COUNTIFS($E$69:$K$69,"&lt;"&amp;$D$69)+COUNTIF($E$69:$K$69,"&gt;"&amp;G69)))</f>
        <v>3</v>
      </c>
      <c r="H70" s="14" cm="1">
        <f t="array" ref="H70">_xlfn.IFS(G70=4,1,G70=3,2,G70=2,3,G70=1,4,G69&lt;$D$69,"Too Fast",G69="DQ","DQ")</f>
        <v>2</v>
      </c>
      <c r="I70" s="9">
        <f>IF(I69="DQ",0,IF(I69&lt;$D$69,0,1+COUNTIFS($E$69:$K$69,"DQ")+COUNTIFS($E$69:$K$69,"&lt;"&amp;$D$69)+COUNTIF($E$69:$K$69,"&gt;"&amp;I69)))</f>
        <v>2</v>
      </c>
      <c r="J70" s="14" cm="1">
        <f t="array" ref="J70">_xlfn.IFS(I70=4,1,I70=3,2,I70=2,3,I70=1,4,I69&lt;$D$69,"Too Fast",I69="DQ","DQ")</f>
        <v>3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</row>
    <row r="71" spans="1:17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4.061342592592593E-4</v>
      </c>
      <c r="F71" s="28"/>
      <c r="G71" s="27">
        <v>4.071759259259259E-4</v>
      </c>
      <c r="H71" s="28"/>
      <c r="I71" s="27">
        <v>4.8865740740740738E-4</v>
      </c>
      <c r="J71" s="28"/>
      <c r="K71" s="27">
        <v>4.7233796296296298E-4</v>
      </c>
      <c r="L71" s="28"/>
    </row>
    <row r="72" spans="1:17" x14ac:dyDescent="0.3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4</v>
      </c>
      <c r="L72" s="14" cm="1">
        <f t="array" ref="L72">_xlfn.IFS(K72=4,1,K72=3,2,K72=2,3,K72=1,4,K71&lt;$D$71,"Too Fast",K71="DQ","DQ")</f>
        <v>1</v>
      </c>
    </row>
    <row r="73" spans="1:17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4.0150462962962959E-4</v>
      </c>
      <c r="F73" s="28"/>
      <c r="G73" s="27">
        <v>3.6076388888888893E-4</v>
      </c>
      <c r="H73" s="28"/>
      <c r="I73" s="27">
        <v>3.8414351851851847E-4</v>
      </c>
      <c r="J73" s="28"/>
      <c r="K73" s="27">
        <v>3.9131944444444446E-4</v>
      </c>
      <c r="L73" s="28"/>
    </row>
    <row r="74" spans="1:17" x14ac:dyDescent="0.3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4</v>
      </c>
      <c r="H74" s="14" cm="1">
        <f t="array" ref="H74">_xlfn.IFS(G74=4,1,G74=3,2,G74=2,3,G74=1,4,G73&lt;$D$73,"Too Fast",G73="DQ","DQ")</f>
        <v>1</v>
      </c>
      <c r="I74" s="9">
        <f>IF(I73="DQ",0,IF(I73&lt;$D$73,0,1+COUNTIFS($E$73:$K$73,"DQ")+COUNTIFS($E$73:$K$73,"&lt;"&amp;$D$73)+COUNTIF($E$73:$K$73,"&gt;"&amp;I73)))</f>
        <v>3</v>
      </c>
      <c r="J74" s="14" cm="1">
        <f t="array" ref="J74">_xlfn.IFS(I74=4,1,I74=3,2,I74=2,3,I74=1,4,I73&lt;$D$73,"Too Fast",I73="DQ","DQ")</f>
        <v>2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3.7118055555555553E-4</v>
      </c>
      <c r="F75" s="28"/>
      <c r="G75" s="27">
        <v>3.4756944444444446E-4</v>
      </c>
      <c r="H75" s="28"/>
      <c r="I75" s="27">
        <v>3.7129629629629627E-4</v>
      </c>
      <c r="J75" s="28"/>
      <c r="K75" s="27">
        <v>3.5775462962962963E-4</v>
      </c>
      <c r="L75" s="28"/>
    </row>
    <row r="76" spans="1:17" x14ac:dyDescent="0.3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2</v>
      </c>
      <c r="F76" s="14" cm="1">
        <f t="array" ref="F76">_xlfn.IFS(E76=4,1,E76=3,2,E76=2,3,E76=1,4,E75&lt;$D$75,"Too Fast",E75="DQ","DQ")</f>
        <v>3</v>
      </c>
      <c r="G76" s="9">
        <f>IF(G75="DQ",0,IF(G75&lt;$D$75,0,1+COUNTIFS($E$75:$K$75,"DQ")+COUNTIFS($E$75:$K$75,"&lt;"&amp;$D$75)+COUNTIF($E$75:$K$75,"&gt;"&amp;G75)))</f>
        <v>4</v>
      </c>
      <c r="H76" s="14" cm="1">
        <f t="array" ref="H76">_xlfn.IFS(G76=4,1,G76=3,2,G76=2,3,G76=1,4,G75&lt;$D$75,"Too Fast",G75="DQ","DQ")</f>
        <v>1</v>
      </c>
      <c r="I76" s="9">
        <f>IF(I75="DQ",0,IF(I75&lt;$D$75,0,1+COUNTIFS($E$75:$K$75,"DQ")+COUNTIFS($E$75:$K$75,"&lt;"&amp;$D$75)+COUNTIF($E$75:$K$75,"&gt;"&amp;I75)))</f>
        <v>1</v>
      </c>
      <c r="J76" s="14" cm="1">
        <f t="array" ref="J76">_xlfn.IFS(I76=4,1,I76=3,2,I76=2,3,I76=1,4,I75&lt;$D$75,"Too Fast",I75="DQ","DQ")</f>
        <v>4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</row>
    <row r="77" spans="1:17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1.0340277777777778E-3</v>
      </c>
      <c r="F77" s="28"/>
      <c r="G77" s="27">
        <v>9.8287037037037049E-4</v>
      </c>
      <c r="H77" s="28"/>
      <c r="I77" s="27">
        <v>1.0796296296296296E-3</v>
      </c>
      <c r="J77" s="28"/>
      <c r="K77" s="27">
        <v>9.7870370370370364E-4</v>
      </c>
      <c r="L77" s="28"/>
    </row>
    <row r="78" spans="1:17" x14ac:dyDescent="0.3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3</v>
      </c>
      <c r="H78" s="14" cm="1">
        <f t="array" ref="H78">_xlfn.IFS(G78=4,1,G78=3,2,G78=2,3,G78=1,4,G77&lt;$D$77,"Too Fast",G77="DQ","DQ")</f>
        <v>2</v>
      </c>
      <c r="I78" s="9">
        <f>IF(I77="DQ",0,IF(I77&lt;$D$77,0,1+COUNTIFS($E$77:$K$77,"DQ")+COUNTIFS($E$77:$K$77,"&lt;"&amp;$D$77)+COUNTIF($E$77:$K$77,"&gt;"&amp;I77)))</f>
        <v>1</v>
      </c>
      <c r="J78" s="14" cm="1">
        <f t="array" ref="J78">_xlfn.IFS(I78=4,1,I78=3,2,I78=2,3,I78=1,4,I77&lt;$D$77,"Too Fast",I77="DQ","DQ")</f>
        <v>4</v>
      </c>
      <c r="K78" s="9">
        <f>IF(K77="DQ",0,IF(K77&lt;$D$77,0,1+COUNTIFS($E$77:$K$77,"DQ")+COUNTIFS($E$77:$K$77,"&lt;"&amp;$D$77)+COUNTIF($E$77:$K$77,"&gt;"&amp;K77)))</f>
        <v>4</v>
      </c>
      <c r="L78" s="14" cm="1">
        <f t="array" ref="L78">_xlfn.IFS(K78=4,1,K78=3,2,K78=2,3,K78=1,4,K77&lt;$D$77,"Too Fast",K77="DQ","DQ")</f>
        <v>1</v>
      </c>
    </row>
    <row r="79" spans="1:17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9.0532407407407402E-4</v>
      </c>
      <c r="F79" s="28"/>
      <c r="G79" s="27">
        <v>9.25462962962963E-4</v>
      </c>
      <c r="H79" s="28"/>
      <c r="I79" s="27">
        <v>1.0203703703703703E-3</v>
      </c>
      <c r="J79" s="28"/>
      <c r="K79" s="27">
        <v>9.5879629629629635E-4</v>
      </c>
      <c r="L79" s="28"/>
    </row>
    <row r="80" spans="1:17" x14ac:dyDescent="0.3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4</v>
      </c>
      <c r="F80" s="14" cm="1">
        <f t="array" ref="F80">_xlfn.IFS(E80=4,1,E80=3,2,E80=2,3,E80=1,4,E79&lt;$D$79,"Too Fast",E79="DQ","DQ")</f>
        <v>1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1</v>
      </c>
      <c r="J80" s="14" cm="1">
        <f t="array" ref="J80">_xlfn.IFS(I80=4,1,I80=3,2,I80=2,3,I80=1,4,I79&lt;$D$79,"Too Fast",I79="DQ","DQ")</f>
        <v>4</v>
      </c>
      <c r="K80" s="9">
        <f>IF(K79="DQ",0,IF(K79&lt;$D$79,0,1+COUNTIFS($E$79:$K$79,"DQ")+COUNTIFS($E$79:$K$79,"&lt;"&amp;$D$79)+COUNTIF($E$79:$K$79,"&gt;"&amp;K79)))</f>
        <v>2</v>
      </c>
      <c r="L80" s="14" cm="1">
        <f t="array" ref="L80">_xlfn.IFS(K80=4,1,K80=3,2,K80=2,3,K80=1,4,K79&lt;$D$79,"Too Fast",K79="DQ","DQ")</f>
        <v>3</v>
      </c>
    </row>
    <row r="81" spans="1:12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7.7546296296296293E-4</v>
      </c>
      <c r="F81" s="28"/>
      <c r="G81" s="27">
        <v>8.2592592592592592E-4</v>
      </c>
      <c r="H81" s="28"/>
      <c r="I81" s="27">
        <v>8.4456018518518517E-4</v>
      </c>
      <c r="J81" s="28"/>
      <c r="K81" s="27">
        <v>7.6319444444444438E-4</v>
      </c>
      <c r="L81" s="28"/>
    </row>
    <row r="82" spans="1:12" x14ac:dyDescent="0.3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3</v>
      </c>
      <c r="F82" s="14" cm="1">
        <f t="array" ref="F82">_xlfn.IFS(E82=4,1,E82=3,2,E82=2,3,E82=1,4,E81&lt;$D$81,"Too Fast",E81="DQ","DQ")</f>
        <v>2</v>
      </c>
      <c r="G82" s="9">
        <f>IF(G81="DQ",0,IF(G81&lt;$D$81,0,1+COUNTIFS($E$81:$K$81,"DQ")+COUNTIFS($E$81:$K$81,"&lt;"&amp;$D$81)+COUNTIF($E$81:$K$81,"&gt;"&amp;G81)))</f>
        <v>2</v>
      </c>
      <c r="H82" s="14" cm="1">
        <f t="array" ref="H82">_xlfn.IFS(G82=4,1,G82=3,2,G82=2,3,G82=1,4,G81&lt;$D$81,"Too Fast",G81="DQ","DQ")</f>
        <v>3</v>
      </c>
      <c r="I82" s="9">
        <f>IF(I81="DQ",0,IF(I81&lt;$D$81,0,1+COUNTIFS($E$81:$K$81,"DQ")+COUNTIFS($E$81:$K$81,"&lt;"&amp;$D$81)+COUNTIF($E$81:$K$81,"&gt;"&amp;I81)))</f>
        <v>1</v>
      </c>
      <c r="J82" s="14" cm="1">
        <f t="array" ref="J82">_xlfn.IFS(I82=4,1,I82=3,2,I82=2,3,I82=1,4,I81&lt;$D$81,"Too Fast",I81="DQ","DQ")</f>
        <v>4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</row>
    <row r="83" spans="1:12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8.6377314814814813E-4</v>
      </c>
      <c r="F83" s="28"/>
      <c r="G83" s="27">
        <v>7.8807870370370371E-4</v>
      </c>
      <c r="H83" s="28"/>
      <c r="I83" s="27">
        <v>8.6388888888888887E-4</v>
      </c>
      <c r="J83" s="28"/>
      <c r="K83" s="27" t="s">
        <v>104</v>
      </c>
      <c r="L83" s="28"/>
    </row>
    <row r="84" spans="1:12" x14ac:dyDescent="0.3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2</v>
      </c>
      <c r="J84" s="14" cm="1">
        <f t="array" ref="J84">_xlfn.IFS(I84=4,1,I84=3,2,I84=2,3,I84=1,4,I83&lt;$D$83,"Too Fast",I83="DQ","DQ")</f>
        <v>3</v>
      </c>
      <c r="K84" s="9">
        <f>IF(K83="DQ",0,IF(K83&lt;$D$83,0,1+COUNTIFS($E$83:$K$83,"DQ")+COUNTIFS($E$83:$K$83,"&lt;"&amp;$D$83)+COUNTIF($E$83:$K$83,"&gt;"&amp;K83)))</f>
        <v>0</v>
      </c>
      <c r="L84" s="14" t="str" cm="1">
        <f t="array" ref="L84">_xlfn.IFS(K84=4,1,K84=3,2,K84=2,3,K84=1,4,K83&lt;$D$83,"Too Fast",K83="DQ","DQ")</f>
        <v>DQ</v>
      </c>
    </row>
    <row r="85" spans="1:12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8.6909722222222228E-4</v>
      </c>
      <c r="F85" s="28"/>
      <c r="G85" s="27">
        <v>8.7083333333333327E-4</v>
      </c>
      <c r="H85" s="28"/>
      <c r="I85" s="27">
        <v>9.0057870370370378E-4</v>
      </c>
      <c r="J85" s="28"/>
      <c r="K85" s="27">
        <v>8.7488425925925928E-4</v>
      </c>
      <c r="L85" s="28"/>
    </row>
    <row r="86" spans="1:12" x14ac:dyDescent="0.3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4</v>
      </c>
      <c r="F86" s="14" cm="1">
        <f t="array" ref="F86">_xlfn.IFS(E86=4,1,E86=3,2,E86=2,3,E86=1,4,E85&lt;$D$85,"Too Fast",E85="DQ","DQ")</f>
        <v>1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2</v>
      </c>
      <c r="L86" s="14" cm="1">
        <f t="array" ref="L86">_xlfn.IFS(K86=4,1,K86=3,2,K86=2,3,K86=1,4,K85&lt;$D$85,"Too Fast",K85="DQ","DQ")</f>
        <v>3</v>
      </c>
    </row>
    <row r="87" spans="1:12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 t="s">
        <v>104</v>
      </c>
      <c r="F87" s="28"/>
      <c r="G87" s="27">
        <v>8.0555555555555545E-4</v>
      </c>
      <c r="H87" s="28"/>
      <c r="I87" s="27" t="s">
        <v>104</v>
      </c>
      <c r="J87" s="28"/>
      <c r="K87" s="27">
        <v>9.3171296296296296E-4</v>
      </c>
      <c r="L87" s="28"/>
    </row>
    <row r="88" spans="1:12" x14ac:dyDescent="0.3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0</v>
      </c>
      <c r="F88" s="14" t="str" cm="1">
        <f t="array" ref="F88">_xlfn.IFS(E88=4,1,E88=3,2,E88=2,3,E88=1,4,E87&lt;$D$87,"Too Fast",E87="DQ","DQ")</f>
        <v>DQ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DQ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</row>
    <row r="89" spans="1:12" x14ac:dyDescent="0.3">
      <c r="A89" s="2"/>
      <c r="B89" s="12" t="s">
        <v>63</v>
      </c>
      <c r="C89" s="3"/>
      <c r="D89" s="16"/>
      <c r="E89" s="19">
        <f>E68+E70+E72+E74+E76+E78+E80+E82+E84+E86+E88</f>
        <v>98</v>
      </c>
      <c r="F89" s="19"/>
      <c r="G89" s="19">
        <f t="shared" ref="G89:K89" si="33">G68+G70+G72+G74+G76+G78+G80+G82+G84+G86+G88</f>
        <v>107</v>
      </c>
      <c r="H89" s="19"/>
      <c r="I89" s="19">
        <f t="shared" si="33"/>
        <v>73</v>
      </c>
      <c r="J89" s="19"/>
      <c r="K89" s="19">
        <f t="shared" si="33"/>
        <v>108</v>
      </c>
      <c r="L89" s="18"/>
    </row>
    <row r="90" spans="1:12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4.4814814814814815E-4</v>
      </c>
      <c r="F90" s="28"/>
      <c r="G90" s="27">
        <v>4.1006944444444446E-4</v>
      </c>
      <c r="H90" s="28"/>
      <c r="I90" s="27">
        <v>4.4664351851851858E-4</v>
      </c>
      <c r="J90" s="28"/>
      <c r="K90" s="27">
        <v>4.3321759259259257E-4</v>
      </c>
      <c r="L90" s="28"/>
    </row>
    <row r="91" spans="1:12" x14ac:dyDescent="0.3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2</v>
      </c>
      <c r="J91" s="14" cm="1">
        <f t="array" ref="J91">_xlfn.IFS(I91=4,1,I91=3,2,I91=2,3,I91=1,4,I90&lt;$D$90,"Too Fast",I90="DQ","DQ")</f>
        <v>3</v>
      </c>
      <c r="K91" s="9">
        <f>IF(K90="DQ",0,IF(K90&lt;$D$90,0,1+COUNTIFS($E$90:$K$90,"DQ")+COUNTIFS($E$90:$K$90,"&lt;"&amp;$D$90)+COUNTIF($E$90:$K$90,"&gt;"&amp;K90)))</f>
        <v>3</v>
      </c>
      <c r="L91" s="14" cm="1">
        <f t="array" ref="L91">_xlfn.IFS(K91=4,1,K91=3,2,K91=2,3,K91=1,4,K90&lt;$D$90,"Too Fast",K90="DQ","DQ")</f>
        <v>2</v>
      </c>
    </row>
    <row r="92" spans="1:12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3.6898148148148147E-4</v>
      </c>
      <c r="F92" s="28"/>
      <c r="G92" s="27">
        <v>3.6886574074074073E-4</v>
      </c>
      <c r="H92" s="28"/>
      <c r="I92" s="27">
        <v>4.2962962962962958E-4</v>
      </c>
      <c r="J92" s="28"/>
      <c r="K92" s="27">
        <v>3.960648148148148E-4</v>
      </c>
      <c r="L92" s="28"/>
    </row>
    <row r="93" spans="1:12" x14ac:dyDescent="0.3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1</v>
      </c>
      <c r="J93" s="14" cm="1">
        <f t="array" ref="J93">_xlfn.IFS(I93=4,1,I93=3,2,I93=2,3,I93=1,4,I92&lt;$D$92,"Too Fast",I92="DQ","DQ")</f>
        <v>4</v>
      </c>
      <c r="K93" s="9">
        <f>IF(K92="DQ",0,IF(K92&lt;$D$92,0,1+COUNTIFS($E$92:$K$92,"DQ")+COUNTIFS($E$92:$K$92,"&lt;"&amp;$D$92)+COUNTIF($E$92:$K$92,"&gt;"&amp;K92)))</f>
        <v>2</v>
      </c>
      <c r="L93" s="14" cm="1">
        <f t="array" ref="L93">_xlfn.IFS(K93=4,1,K93=3,2,K93=2,3,K93=1,4,K92&lt;$D$92,"Too Fast",K92="DQ","DQ")</f>
        <v>3</v>
      </c>
    </row>
    <row r="94" spans="1:12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7.5740740740740738E-4</v>
      </c>
      <c r="F94" s="28"/>
      <c r="G94" s="27">
        <v>7.4745370370370373E-4</v>
      </c>
      <c r="H94" s="28"/>
      <c r="I94" s="27">
        <v>8.576388888888888E-4</v>
      </c>
      <c r="J94" s="28"/>
      <c r="K94" s="27">
        <v>7.7581018518518515E-4</v>
      </c>
      <c r="L94" s="28"/>
    </row>
    <row r="95" spans="1:12" x14ac:dyDescent="0.3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3</v>
      </c>
      <c r="F95" s="14" cm="1">
        <f t="array" ref="F95">_xlfn.IFS(E95=4,1,E95=3,2,E95=2,3,E95=1,4,E94&lt;$D$94,"Too Fast",E94="DQ","DQ")</f>
        <v>2</v>
      </c>
      <c r="G95" s="9">
        <f>IF(G94="DQ",0,IF(G94&lt;$D$94,0,1+COUNTIFS($E$94:$K$94,"DQ")+COUNTIFS($E$94:$K$94,"&lt;"&amp;$D$94)+COUNTIF($E$94:$K$94,"&gt;"&amp;G94)))</f>
        <v>4</v>
      </c>
      <c r="H95" s="14" cm="1">
        <f t="array" ref="H95">_xlfn.IFS(G95=4,1,G95=3,2,G95=2,3,G95=1,4,G94&lt;$D$94,"Too Fast",G94="DQ","DQ")</f>
        <v>1</v>
      </c>
      <c r="I95" s="9">
        <f>IF(I94="DQ",0,IF(I94&lt;$D$94,0,1+COUNTIFS($E$94:$K$94,"DQ")+COUNTIFS($E$94:$K$94,"&lt;"&amp;$D$94)+COUNTIF($E$94:$K$94,"&gt;"&amp;I94)))</f>
        <v>1</v>
      </c>
      <c r="J95" s="14" cm="1">
        <f t="array" ref="J95">_xlfn.IFS(I95=4,1,I95=3,2,I95=2,3,I95=1,4,I94&lt;$D$94,"Too Fast",I94="DQ","DQ")</f>
        <v>4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</row>
    <row r="96" spans="1:12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7.092592592592593E-4</v>
      </c>
      <c r="F96" s="28"/>
      <c r="G96" s="27">
        <v>7.0289351851851849E-4</v>
      </c>
      <c r="H96" s="28"/>
      <c r="I96" s="27">
        <v>6.9837962962962963E-4</v>
      </c>
      <c r="J96" s="28"/>
      <c r="K96" s="27">
        <v>7.0277777777777775E-4</v>
      </c>
      <c r="L96" s="28"/>
    </row>
    <row r="97" spans="1:12" x14ac:dyDescent="0.3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2.5891203703703704E-4</v>
      </c>
      <c r="F98" s="28"/>
      <c r="G98" s="27">
        <v>2.6666666666666668E-4</v>
      </c>
      <c r="H98" s="28"/>
      <c r="I98" s="27">
        <v>2.6550925925925928E-4</v>
      </c>
      <c r="J98" s="28"/>
      <c r="K98" s="27">
        <v>2.3287037037037037E-4</v>
      </c>
      <c r="L98" s="28"/>
    </row>
    <row r="99" spans="1:12" x14ac:dyDescent="0.3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4</v>
      </c>
      <c r="F99" s="14" cm="1">
        <f t="array" ref="F99">_xlfn.IFS(E99=4,1,E99=3,2,E99=2,3,E99=1,4,E98&lt;$D$98,"Too Fast",E98="DQ","DQ")</f>
        <v>1</v>
      </c>
      <c r="G99" s="9">
        <f>IF(G98="DQ",0,IF(G98&lt;$D$98,0,1+COUNTIFS($E$98:$K$98,"DQ")+COUNTIFS($E$98:$K$98,"&lt;"&amp;$D$98)+COUNTIF($E$98:$K$98,"&gt;"&amp;G98)))</f>
        <v>2</v>
      </c>
      <c r="H99" s="14" cm="1">
        <f t="array" ref="H99">_xlfn.IFS(G99=4,1,G99=3,2,G99=2,3,G99=1,4,G98&lt;$D$98,"Too Fast",G98="DQ","DQ")</f>
        <v>3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</row>
    <row r="100" spans="1:12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2.6006944444444444E-4</v>
      </c>
      <c r="F100" s="28"/>
      <c r="G100" s="27">
        <v>2.4687499999999997E-4</v>
      </c>
      <c r="H100" s="28"/>
      <c r="I100" s="27">
        <v>2.7951388888888888E-4</v>
      </c>
      <c r="J100" s="28"/>
      <c r="K100" s="27">
        <v>2.74537037037037E-4</v>
      </c>
      <c r="L100" s="28"/>
    </row>
    <row r="101" spans="1:12" x14ac:dyDescent="0.3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</row>
    <row r="102" spans="1:12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4.387731481481481E-4</v>
      </c>
      <c r="F102" s="28"/>
      <c r="G102" s="27">
        <v>4.5081018518518522E-4</v>
      </c>
      <c r="H102" s="28"/>
      <c r="I102" s="27">
        <v>4.8113425925925928E-4</v>
      </c>
      <c r="J102" s="28"/>
      <c r="K102" s="27">
        <v>4.4490740740740737E-4</v>
      </c>
      <c r="L102" s="28"/>
    </row>
    <row r="103" spans="1:12" x14ac:dyDescent="0.3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3</v>
      </c>
      <c r="L103" s="14" cm="1">
        <f t="array" ref="L103">_xlfn.IFS(K103=4,1,K103=3,2,K103=2,3,K103=1,4,K102&lt;$D$102,"Too Fast",K102="DQ","DQ")</f>
        <v>2</v>
      </c>
    </row>
    <row r="104" spans="1:12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4.4351851851851855E-4</v>
      </c>
      <c r="F104" s="28"/>
      <c r="G104" s="27">
        <v>4.2210648148148148E-4</v>
      </c>
      <c r="H104" s="28"/>
      <c r="I104" s="27">
        <v>4.5752314814814814E-4</v>
      </c>
      <c r="J104" s="28"/>
      <c r="K104" s="27">
        <v>4.5428240740740742E-4</v>
      </c>
      <c r="L104" s="28"/>
    </row>
    <row r="105" spans="1:12" x14ac:dyDescent="0.3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1</v>
      </c>
      <c r="J105" s="14" cm="1">
        <f t="array" ref="J105">_xlfn.IFS(I105=4,1,I105=3,2,I105=2,3,I105=1,4,I104&lt;$D$104,"Too Fast",I104="DQ","DQ")</f>
        <v>4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</row>
    <row r="106" spans="1:12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1.5439814814814815E-3</v>
      </c>
      <c r="F106" s="28"/>
      <c r="G106" s="27">
        <v>1.5914351851851851E-3</v>
      </c>
      <c r="H106" s="28"/>
      <c r="I106" s="27">
        <v>1.569675925925926E-3</v>
      </c>
      <c r="J106" s="28"/>
      <c r="K106" s="27">
        <v>1.4940972222222222E-3</v>
      </c>
      <c r="L106" s="28"/>
    </row>
    <row r="107" spans="1:12" x14ac:dyDescent="0.3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3</v>
      </c>
      <c r="F107" s="14" cm="1">
        <f t="array" ref="F107">_xlfn.IFS(E107=4,1,E107=3,2,E107=2,3,E107=1,4,E106&lt;$D$106,"Too Fast",E106="DQ","DQ")</f>
        <v>2</v>
      </c>
      <c r="G107" s="9">
        <f>IF(G106="DQ",0,IF(G106&lt;$D$106,0,1+COUNTIFS($E$106:$K$106,"DQ")+COUNTIFS($E$106:$K$106,"&lt;"&amp;$D$106)+COUNTIF($E$106:$K$106,"&gt;"&amp;G106)))</f>
        <v>1</v>
      </c>
      <c r="H107" s="14" cm="1">
        <f t="array" ref="H107">_xlfn.IFS(G107=4,1,G107=3,2,G107=2,3,G107=1,4,G106&lt;$D$106,"Too Fast",G106="DQ","DQ")</f>
        <v>4</v>
      </c>
      <c r="I107" s="9">
        <f>IF(I106="DQ",0,IF(I106&lt;$D$106,0,1+COUNTIFS($E$106:$K$106,"DQ")+COUNTIFS($E$106:$K$106,"&lt;"&amp;$D$106)+COUNTIF($E$106:$K$106,"&gt;"&amp;I106)))</f>
        <v>2</v>
      </c>
      <c r="J107" s="14" cm="1">
        <f t="array" ref="J107">_xlfn.IFS(I107=4,1,I107=3,2,I107=2,3,I107=1,4,I106&lt;$D$106,"Too Fast",I106="DQ","DQ")</f>
        <v>3</v>
      </c>
      <c r="K107" s="9">
        <f>IF(K106="DQ",0,IF(K106&lt;$D$106,0,1+COUNTIFS($E$106:$K$106,"DQ")+COUNTIFS($E$106:$K$106,"&lt;"&amp;$D$106)+COUNTIF($E$106:$K$106,"&gt;"&amp;K106)))</f>
        <v>4</v>
      </c>
      <c r="L107" s="14" cm="1">
        <f t="array" ref="L107">_xlfn.IFS(K107=4,1,K107=3,2,K107=2,3,K107=1,4,K106&lt;$D$106,"Too Fast",K106="DQ","DQ")</f>
        <v>1</v>
      </c>
    </row>
    <row r="108" spans="1:12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1.4166666666666668E-3</v>
      </c>
      <c r="F108" s="28"/>
      <c r="G108" s="27">
        <v>1.3928240740740741E-3</v>
      </c>
      <c r="H108" s="28"/>
      <c r="I108" s="27">
        <v>1.4474537037037038E-3</v>
      </c>
      <c r="J108" s="28"/>
      <c r="K108" s="27">
        <v>1.3791666666666666E-3</v>
      </c>
      <c r="L108" s="28"/>
    </row>
    <row r="109" spans="1:12" x14ac:dyDescent="0.3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</row>
    <row r="110" spans="1:12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1.4655092592592593E-3</v>
      </c>
      <c r="F110" s="28"/>
      <c r="G110" s="27">
        <v>1.4292824074074073E-3</v>
      </c>
      <c r="H110" s="28"/>
      <c r="I110" s="27">
        <v>1.5635416666666666E-3</v>
      </c>
      <c r="J110" s="28"/>
      <c r="K110" s="27">
        <v>1.4145833333333332E-3</v>
      </c>
      <c r="L110" s="28"/>
    </row>
    <row r="111" spans="1:12" x14ac:dyDescent="0.3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1</v>
      </c>
      <c r="J111" s="14" cm="1">
        <f t="array" ref="J111">_xlfn.IFS(I111=4,1,I111=3,2,I111=2,3,I111=1,4,I110&lt;$D$110,"Too Fast",I110="DQ","DQ")</f>
        <v>4</v>
      </c>
      <c r="K111" s="9">
        <f>IF(K110="DQ",0,IF(K110&lt;$D$110,0,1+COUNTIFS($E$110:$K$110,"DQ")+COUNTIFS($E$110:$K$110,"&lt;"&amp;$D$110)+COUNTIF($E$110:$K$110,"&gt;"&amp;K110)))</f>
        <v>4</v>
      </c>
      <c r="L111" s="14" cm="1">
        <f t="array" ref="L111">_xlfn.IFS(K111=4,1,K111=3,2,K111=2,3,K111=1,4,K110&lt;$D$110,"Too Fast",K110="DQ","DQ")</f>
        <v>1</v>
      </c>
    </row>
    <row r="112" spans="1:12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1.3274305555555554E-3</v>
      </c>
      <c r="F112" s="28"/>
      <c r="G112" s="27">
        <v>1.3061342592592593E-3</v>
      </c>
      <c r="H112" s="28"/>
      <c r="I112" s="27">
        <v>1.3248842592592592E-3</v>
      </c>
      <c r="J112" s="28"/>
      <c r="K112" s="27">
        <v>1.2695601851851852E-3</v>
      </c>
      <c r="L112" s="28"/>
    </row>
    <row r="113" spans="1:12" x14ac:dyDescent="0.3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1.3870370370370371E-3</v>
      </c>
      <c r="F114" s="28"/>
      <c r="G114" s="27">
        <v>1.3538194444444444E-3</v>
      </c>
      <c r="H114" s="28"/>
      <c r="I114" s="27">
        <v>1.437037037037037E-3</v>
      </c>
      <c r="J114" s="28"/>
      <c r="K114" s="27">
        <v>1.3824074074074073E-3</v>
      </c>
      <c r="L114" s="28"/>
    </row>
    <row r="115" spans="1:12" x14ac:dyDescent="0.3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1</v>
      </c>
      <c r="J115" s="14" cm="1">
        <f t="array" ref="J115">_xlfn.IFS(I115=4,1,I115=3,2,I115=2,3,I115=1,4,I114&lt;$D$114,"Too Fast",I114="DQ","DQ")</f>
        <v>4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</row>
    <row r="116" spans="1:12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130</v>
      </c>
      <c r="F116" s="19"/>
      <c r="G116" s="19">
        <f t="shared" ref="G116:K116" si="34">G89+G91+G93+G95+G97+G99+G101+G103+G105+G107+G109+G111+G113+G115</f>
        <v>147</v>
      </c>
      <c r="H116" s="19"/>
      <c r="I116" s="19">
        <f t="shared" si="34"/>
        <v>94</v>
      </c>
      <c r="J116" s="19"/>
      <c r="K116" s="19">
        <f t="shared" si="34"/>
        <v>144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4" width="10.109375" customWidth="1"/>
    <col min="15" max="16" width="3.44140625" customWidth="1"/>
    <col min="17" max="17" width="14.33203125" customWidth="1"/>
    <col min="18" max="18" width="24" customWidth="1"/>
    <col min="19" max="19" width="9.5546875" bestFit="1" customWidth="1"/>
    <col min="20" max="24" width="11.33203125" bestFit="1" customWidth="1"/>
    <col min="27" max="27" width="12" customWidth="1"/>
  </cols>
  <sheetData>
    <row r="1" spans="1:27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7" x14ac:dyDescent="0.3">
      <c r="Q2" s="30" t="s">
        <v>1</v>
      </c>
      <c r="R2" s="33"/>
      <c r="S2" s="33"/>
      <c r="T2" s="33"/>
      <c r="U2" s="33"/>
      <c r="V2" s="33"/>
      <c r="W2" s="33"/>
      <c r="X2" s="18"/>
      <c r="Y2" s="18"/>
      <c r="Z2" s="18"/>
      <c r="AA2" s="18"/>
    </row>
    <row r="3" spans="1:27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6" width="10.109375" customWidth="1"/>
    <col min="17" max="18" width="3.44140625" customWidth="1"/>
    <col min="19" max="19" width="14.33203125" customWidth="1"/>
    <col min="20" max="20" width="24" customWidth="1"/>
    <col min="21" max="21" width="9.5546875" bestFit="1" customWidth="1"/>
    <col min="22" max="27" width="10.6640625" bestFit="1" customWidth="1"/>
    <col min="30" max="30" width="11.5546875" customWidth="1"/>
  </cols>
  <sheetData>
    <row r="1" spans="1:3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0" x14ac:dyDescent="0.3">
      <c r="S2" s="30" t="s">
        <v>1</v>
      </c>
      <c r="T2" s="33"/>
      <c r="U2" s="33"/>
      <c r="V2" s="33"/>
      <c r="W2" s="33"/>
      <c r="X2" s="33"/>
      <c r="Y2" s="33"/>
      <c r="Z2" s="33"/>
      <c r="AA2" s="2"/>
      <c r="AB2" s="2"/>
      <c r="AC2" s="2"/>
      <c r="AD2" s="18"/>
    </row>
    <row r="3" spans="1:3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8" width="10.109375" customWidth="1"/>
    <col min="19" max="20" width="3.44140625" customWidth="1"/>
    <col min="21" max="21" width="14.33203125" customWidth="1"/>
    <col min="22" max="22" width="24" customWidth="1"/>
    <col min="23" max="23" width="9.5546875" bestFit="1" customWidth="1"/>
    <col min="24" max="24" width="10.44140625" bestFit="1" customWidth="1"/>
    <col min="25" max="31" width="10.6640625" bestFit="1" customWidth="1"/>
    <col min="33" max="33" width="12.33203125" customWidth="1"/>
  </cols>
  <sheetData>
    <row r="1" spans="1:33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3" x14ac:dyDescent="0.3">
      <c r="U2" s="38" t="s">
        <v>1</v>
      </c>
      <c r="V2" s="38"/>
      <c r="W2" s="38"/>
      <c r="X2" s="38"/>
      <c r="Y2" s="38"/>
      <c r="Z2" s="38"/>
      <c r="AA2" s="38"/>
      <c r="AB2" s="38"/>
      <c r="AC2" s="38"/>
      <c r="AD2" s="38"/>
      <c r="AE2" s="18"/>
      <c r="AF2" s="18"/>
      <c r="AG2" s="2"/>
    </row>
    <row r="3" spans="1:33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O4" s="36" t="s">
        <v>9</v>
      </c>
      <c r="P4" s="37"/>
      <c r="Q4" s="36" t="s">
        <v>9</v>
      </c>
      <c r="R4" s="37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20" width="10.109375" customWidth="1"/>
    <col min="21" max="22" width="3.44140625" customWidth="1"/>
    <col min="23" max="23" width="14.33203125" customWidth="1"/>
    <col min="24" max="24" width="24" customWidth="1"/>
    <col min="25" max="25" width="9.5546875" bestFit="1" customWidth="1"/>
    <col min="26" max="26" width="10.44140625" bestFit="1" customWidth="1"/>
    <col min="27" max="34" width="11.33203125" bestFit="1" customWidth="1"/>
    <col min="36" max="36" width="12" customWidth="1"/>
  </cols>
  <sheetData>
    <row r="1" spans="1:36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6" x14ac:dyDescent="0.3">
      <c r="W2" s="30" t="s">
        <v>1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1"/>
      <c r="AI2" s="18"/>
      <c r="AJ2" s="18"/>
    </row>
    <row r="3" spans="1:36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S3" s="38" t="s">
        <v>90</v>
      </c>
      <c r="T3" s="38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S4" s="39" t="s">
        <v>9</v>
      </c>
      <c r="T4" s="40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S5" s="38" t="s">
        <v>14</v>
      </c>
      <c r="T5" s="38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Bath Dolphin</cp:lastModifiedBy>
  <cp:revision/>
  <dcterms:created xsi:type="dcterms:W3CDTF">2019-11-07T20:01:16Z</dcterms:created>
  <dcterms:modified xsi:type="dcterms:W3CDTF">2026-01-31T20:42:38Z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