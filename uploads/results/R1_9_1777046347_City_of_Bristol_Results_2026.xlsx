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c_\Documents\Swimming\City of Bristol sc\Cotswold League\2026 Cotswold\"/>
    </mc:Choice>
  </mc:AlternateContent>
  <xr:revisionPtr revIDLastSave="0" documentId="8_{E8567674-DFB8-4C54-88AC-41BFE3824547}" xr6:coauthVersionLast="47" xr6:coauthVersionMax="47" xr10:uidLastSave="{00000000-0000-0000-0000-000000000000}"/>
  <bookViews>
    <workbookView xWindow="-98" yWindow="-98" windowWidth="21795" windowHeight="12975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s="1" a="1"/>
  <c r="J32" i="3" s="1"/>
  <c r="G32" i="3"/>
  <c r="H32" i="3" s="1" a="1"/>
  <c r="H32" i="3" s="1"/>
  <c r="E32" i="3"/>
  <c r="F32" i="3" a="1"/>
  <c r="F32" i="3" s="1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a="1"/>
  <c r="H107" i="3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a="1"/>
  <c r="J88" i="3" s="1"/>
  <c r="G88" i="3"/>
  <c r="H88" i="3" s="1" a="1"/>
  <c r="H88" i="3" s="1"/>
  <c r="E88" i="3"/>
  <c r="F88" i="3" a="1"/>
  <c r="F88" i="3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a="1"/>
  <c r="J84" i="3"/>
  <c r="G84" i="3"/>
  <c r="H84" i="3" a="1"/>
  <c r="H84" i="3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a="1"/>
  <c r="J80" i="3" s="1"/>
  <c r="G80" i="3"/>
  <c r="H80" i="3" a="1"/>
  <c r="H80" i="3" s="1"/>
  <c r="E80" i="3"/>
  <c r="F80" i="3" a="1"/>
  <c r="F80" i="3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a="1"/>
  <c r="J76" i="3" s="1"/>
  <c r="G76" i="3"/>
  <c r="H76" i="3" a="1"/>
  <c r="H76" i="3"/>
  <c r="E76" i="3"/>
  <c r="F76" i="3" a="1"/>
  <c r="F76" i="3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a="1"/>
  <c r="J72" i="3" s="1"/>
  <c r="G72" i="3"/>
  <c r="H72" i="3" a="1"/>
  <c r="H72" i="3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a="1"/>
  <c r="J63" i="3" s="1"/>
  <c r="G63" i="3"/>
  <c r="H63" i="3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a="1"/>
  <c r="H46" i="3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s="1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a="1"/>
  <c r="F38" i="3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a="1"/>
  <c r="H34" i="3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/>
  <c r="I23" i="3"/>
  <c r="J23" i="3" a="1"/>
  <c r="J23" i="3" s="1"/>
  <c r="G23" i="3"/>
  <c r="H23" i="3" a="1"/>
  <c r="H23" i="3"/>
  <c r="E23" i="3"/>
  <c r="F23" i="3" a="1"/>
  <c r="F23" i="3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s="1" a="1"/>
  <c r="L19" i="3" s="1"/>
  <c r="I19" i="3"/>
  <c r="J19" i="3" a="1"/>
  <c r="J19" i="3" s="1"/>
  <c r="G19" i="3"/>
  <c r="H19" i="3" a="1"/>
  <c r="H19" i="3"/>
  <c r="E19" i="3"/>
  <c r="F19" i="3" a="1"/>
  <c r="F19" i="3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a="1"/>
  <c r="F15" i="3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<sst xmlns="http://schemas.openxmlformats.org/spreadsheetml/2006/main" count="1360" uniqueCount="105">
  <si>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</si>
  <si>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</si>
  <si>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</si>
  <si>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</si>
  <si>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</si>
  <si>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</si>
  <si>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</si>
  <si>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</si>
  <si>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</si>
  <si>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</si>
  <si>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</si>
  <si>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</si>
  <si>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</si>
  <si>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</si>
  <si>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</si>
  <si>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</si>
  <si>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</si>
  <si>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</si>
  <si>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</si>
  <si>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</si>
  <si>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</si>
  <si>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</si>
  <si>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</si>
  <si>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</si>
  <si>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</si>
  <si>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</si>
  <si>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</si>
  <si>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</si>
  <si>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</si>
  <si>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</si>
  <si>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</si>
  <si>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</si>
  <si>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</si>
  <si>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</si>
  <si>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</si>
  <si>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</si>
  <si>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</si>
  <si>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</si>
  <si>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</si>
  <si>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</si>
  <si>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</si>
  <si>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</si>
  <si>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</si>
  <si>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</si>
  <si>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</si>
  <si>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</si>
  <si>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</si>
  <si>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</si>
  <si>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</si>
  <si>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</si>
  <si>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</si>
  <si>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</si>
  <si>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</si>
  <si>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</si>
  <si>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</si>
  <si>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</si>
  <si>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</si>
  <si>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</si>
  <si>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</si>
  <si>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</si>
  <si>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</si>
  <si>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</si>
  <si>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</si>
  <si>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</si>
  <si>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</si>
  <si>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</si>
  <si>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</si>
  <si>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</si>
  <si>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</si>
  <si>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</si>
  <si>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</si>
  <si>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</si>
  <si>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</si>
  <si>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</si>
  <si>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</si>
  <si>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</si>
  <si>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</si>
  <si>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</si>
  <si>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</si>
  <si>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</si>
  <si>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</si>
  <si>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</si>
  <si>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</si>
  <si>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</si>
  <si>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</si>
  <si>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</si>
  <si>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</si>
  <si>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</si>
  <si>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</si>
  <si>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</si>
  <si>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</si>
  <si>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</si>
  <si>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</si>
  <si>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</si>
  <si>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</si>
  <si>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</si>
  <si>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</si>
  <si>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</si>
  <si>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</si>
  <si>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</si>
  <si>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COB</t>
  </si>
  <si>
    <t>Severnside</t>
  </si>
  <si>
    <t>Southwold</t>
  </si>
  <si>
    <t>AST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</si>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</sst>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25" x14ac:dyDescent="0.45"/>
  <cols>
    <col min="1" max="1" width="14.1328125" customWidth="1"/>
  </cols>
  <sheetData>
    <row r="4" spans="1:1" x14ac:dyDescent="0.45">
      <c r="A4" s="25"/>
    </row>
    <row r="5" spans="1:1" x14ac:dyDescent="0.4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8" width="10.1328125" customWidth="1"/>
    <col min="9" max="10" width="3.3984375" customWidth="1"/>
    <col min="11" max="11" width="14.265625" customWidth="1"/>
    <col min="12" max="12" width="24" customWidth="1"/>
    <col min="13" max="13" width="9.59765625" bestFit="1" customWidth="1"/>
    <col min="14" max="14" width="10.3984375" bestFit="1" customWidth="1"/>
    <col min="15" max="15" width="7.59765625" customWidth="1"/>
    <col min="18" max="18" width="11.1328125" customWidth="1"/>
  </cols>
  <sheetData>
    <row r="1" spans="1:18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</row>
    <row r="2" spans="1:18" x14ac:dyDescent="0.45">
      <c r="K2" s="30" t="s">
        <v>1</v>
      </c>
      <c r="L2" s="33"/>
      <c r="M2" s="33"/>
      <c r="N2" s="33"/>
      <c r="O2" s="33"/>
      <c r="P2" s="31"/>
      <c r="Q2" s="18"/>
      <c r="R2" s="18"/>
    </row>
    <row r="3" spans="1:18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45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4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4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4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4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4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4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4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4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4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4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4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4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4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4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4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4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4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4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4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4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4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4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4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4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4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4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4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4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4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4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4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4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4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4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4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4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4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4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4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4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4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4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4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4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4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4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4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4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4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4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4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4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0" width="10.1328125" customWidth="1"/>
    <col min="11" max="12" width="3.3984375" customWidth="1"/>
    <col min="13" max="13" width="14.265625" customWidth="1"/>
    <col min="14" max="14" width="24" customWidth="1"/>
    <col min="15" max="15" width="9.59765625" bestFit="1" customWidth="1"/>
    <col min="16" max="16" width="10.3984375" bestFit="1" customWidth="1"/>
    <col min="17" max="17" width="9.86328125" bestFit="1" customWidth="1"/>
    <col min="18" max="20" width="11.265625" bestFit="1" customWidth="1"/>
    <col min="21" max="21" width="11.1328125" customWidth="1"/>
  </cols>
  <sheetData>
    <row r="1" spans="1:20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20" x14ac:dyDescent="0.45">
      <c r="M2" s="30" t="s">
        <v>1</v>
      </c>
      <c r="N2" s="33"/>
      <c r="O2" s="33"/>
      <c r="P2" s="33"/>
      <c r="Q2" s="33"/>
      <c r="R2" s="33"/>
      <c r="S2" s="31"/>
      <c r="T2" s="18"/>
    </row>
    <row r="3" spans="1:20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45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4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4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4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4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4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4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4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4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4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4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4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4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4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4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4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4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4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4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4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4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4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4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4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4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4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4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4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4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4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4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4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4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4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4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4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4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4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4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4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4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4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4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4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4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4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4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4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4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4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4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4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4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4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4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topLeftCell="G21" zoomScale="95" zoomScaleNormal="95" workbookViewId="0">
      <selection activeCell="P37" sqref="P3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2" width="10.1328125" customWidth="1"/>
    <col min="13" max="14" width="3.3984375" customWidth="1"/>
    <col min="15" max="15" width="6.73046875" bestFit="1" customWidth="1"/>
    <col min="16" max="16" width="16.265625" bestFit="1" customWidth="1"/>
    <col min="17" max="21" width="11.265625" bestFit="1" customWidth="1"/>
    <col min="24" max="24" width="11.265625" customWidth="1"/>
  </cols>
  <sheetData>
    <row r="1" spans="1:24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4" x14ac:dyDescent="0.45">
      <c r="O2" s="30" t="s">
        <v>81</v>
      </c>
      <c r="P2" s="33"/>
      <c r="Q2" s="33"/>
      <c r="R2" s="33"/>
      <c r="S2" s="33"/>
      <c r="T2" s="33"/>
      <c r="U2" s="33"/>
      <c r="V2" s="31"/>
      <c r="W2" s="18"/>
      <c r="X2" s="18"/>
    </row>
    <row r="3" spans="1:24" x14ac:dyDescent="0.45">
      <c r="A3" s="34"/>
      <c r="B3" s="34"/>
      <c r="C3" s="34"/>
      <c r="D3" s="34"/>
      <c r="E3" s="30" t="s">
        <v>100</v>
      </c>
      <c r="F3" s="31"/>
      <c r="G3" s="30" t="s">
        <v>101</v>
      </c>
      <c r="H3" s="31"/>
      <c r="I3" s="30" t="s">
        <v>102</v>
      </c>
      <c r="J3" s="31"/>
      <c r="K3" s="38" t="s">
        <v>103</v>
      </c>
      <c r="L3" s="38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45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O4" s="17" t="str">
        <f>E3</f>
        <v>COB</v>
      </c>
      <c r="P4" s="17" t="str">
        <f>E4</f>
        <v>Enter Team Name</v>
      </c>
      <c r="Q4" s="20">
        <f>COUNTIF($F7:$F115,1)</f>
        <v>18</v>
      </c>
      <c r="R4" s="20">
        <f>COUNTIF($F7:$F115,2)</f>
        <v>17</v>
      </c>
      <c r="S4" s="20">
        <f>COUNTIF($F7:$F115,3)</f>
        <v>14</v>
      </c>
      <c r="T4" s="20">
        <f>COUNTIF($F7:$F115,4)</f>
        <v>1</v>
      </c>
      <c r="U4" s="20">
        <f>COUNTIF($F7:$F115,"DQ")</f>
        <v>1</v>
      </c>
      <c r="V4" s="20">
        <f>COUNTIF($F7:$F115,"Too Fast")</f>
        <v>2</v>
      </c>
      <c r="W4" s="2">
        <f>E116</f>
        <v>152</v>
      </c>
      <c r="X4" s="18"/>
    </row>
    <row r="5" spans="1:24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O5" s="17" t="str">
        <f>G3</f>
        <v>Severnside</v>
      </c>
      <c r="P5" s="17" t="str">
        <f>G4</f>
        <v>Enter Team Name</v>
      </c>
      <c r="Q5" s="20">
        <f>COUNTIF($H7:$H115,1)</f>
        <v>7</v>
      </c>
      <c r="R5" s="20">
        <f>COUNTIF($H7:$H115,2)</f>
        <v>16</v>
      </c>
      <c r="S5" s="20">
        <f>COUNTIF($H7:$H115,3)</f>
        <v>15</v>
      </c>
      <c r="T5" s="20">
        <f>COUNTIF($H7:$H115,4)</f>
        <v>12</v>
      </c>
      <c r="U5" s="20">
        <f>COUNTIF($H7:$H115,"DQ")</f>
        <v>3</v>
      </c>
      <c r="V5" s="20">
        <f>COUNTIF($H7:$H115,"Too Fast")</f>
        <v>0</v>
      </c>
      <c r="W5" s="2">
        <f>G116</f>
        <v>118</v>
      </c>
      <c r="X5" s="18"/>
    </row>
    <row r="6" spans="1:24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>
        <v>9.650462962962962E-4</v>
      </c>
      <c r="F6" s="29"/>
      <c r="G6" s="29" t="s">
        <v>104</v>
      </c>
      <c r="H6" s="29"/>
      <c r="I6" s="29">
        <v>9.078703703703703E-4</v>
      </c>
      <c r="J6" s="29"/>
      <c r="K6" s="29">
        <v>1.0261574074074073E-3</v>
      </c>
      <c r="L6" s="29"/>
      <c r="O6" s="17" t="str">
        <f>I3</f>
        <v>Southwold</v>
      </c>
      <c r="P6" s="17" t="str">
        <f>I4</f>
        <v>Enter Team Name</v>
      </c>
      <c r="Q6" s="20">
        <f>COUNTIF($J7:$J115,1)</f>
        <v>24</v>
      </c>
      <c r="R6" s="20">
        <f>COUNTIF($J7:$J115,2)</f>
        <v>11</v>
      </c>
      <c r="S6" s="20">
        <f>COUNTIF($J7:$J115,3)</f>
        <v>8</v>
      </c>
      <c r="T6" s="20">
        <f>COUNTIF($J7:$J115,4)</f>
        <v>6</v>
      </c>
      <c r="U6" s="20">
        <f>COUNTIF($J7:$J115,"DQ")</f>
        <v>3</v>
      </c>
      <c r="V6" s="20">
        <f>COUNTIF($J7:$J115,"Too Fast")</f>
        <v>1</v>
      </c>
      <c r="W6" s="2">
        <f>I116</f>
        <v>151</v>
      </c>
      <c r="X6" s="18"/>
    </row>
    <row r="7" spans="1:24" x14ac:dyDescent="0.4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DQ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O7" s="17" t="str">
        <f>K3</f>
        <v>AST</v>
      </c>
      <c r="P7" s="17" t="str">
        <f>K4</f>
        <v>Enter Team Name</v>
      </c>
      <c r="Q7" s="20">
        <f>COUNTIF($L7:$L115,1)</f>
        <v>4</v>
      </c>
      <c r="R7" s="20">
        <f>COUNTIF($L7:$L115,2)</f>
        <v>9</v>
      </c>
      <c r="S7" s="20">
        <f>COUNTIF($L7:$L115,3)</f>
        <v>14</v>
      </c>
      <c r="T7" s="20">
        <f>COUNTIF($L7:$L115,4)</f>
        <v>25</v>
      </c>
      <c r="U7" s="20">
        <f>COUNTIF($L7:$L115,"DQ")</f>
        <v>1</v>
      </c>
      <c r="V7" s="20">
        <f>COUNTIF($L7:$L115,"Too Fast")</f>
        <v>0</v>
      </c>
      <c r="W7" s="2">
        <f>K116</f>
        <v>96</v>
      </c>
      <c r="X7" s="18"/>
    </row>
    <row r="8" spans="1:24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8.3148148148148155E-4</v>
      </c>
      <c r="F8" s="29"/>
      <c r="G8" s="29">
        <v>8.5069444444444439E-4</v>
      </c>
      <c r="H8" s="29"/>
      <c r="I8" s="29">
        <v>8.6736111111111107E-4</v>
      </c>
      <c r="J8" s="29"/>
      <c r="K8" s="29">
        <v>9.353009259259259E-4</v>
      </c>
      <c r="L8" s="29"/>
    </row>
    <row r="9" spans="1:24" x14ac:dyDescent="0.4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2</v>
      </c>
      <c r="J9" s="14" cm="1">
        <f t="array" ref="J9">_xlfn.IFS(I9=4,1,I9=3,2,I9=2,3,I9=1,4,I8&lt;$D$8,"Too Fast",I8="DQ","DQ")</f>
        <v>3</v>
      </c>
      <c r="K9" s="11">
        <f t="shared" ref="K9" si="5">IF(K8="DQ",0,IF(K8&lt;$D$8,0,1+COUNTIFS($E$8:$K$8,"DQ")+COUNTIFS($E$8:$K$8,"&lt;"&amp;$D$8)+COUNTIF($E$8:$K$8,"&gt;"&amp;K$8)))</f>
        <v>1</v>
      </c>
      <c r="L9" s="14" cm="1">
        <f t="array" ref="L9">_xlfn.IFS(K9=4,1,K9=3,2,K9=2,3,K9=1,4,K8&lt;$D$8,"Too Fast",K8="DQ","DQ")</f>
        <v>4</v>
      </c>
    </row>
    <row r="10" spans="1:24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9.1030092592592595E-4</v>
      </c>
      <c r="F10" s="29"/>
      <c r="G10" s="29">
        <v>8.7534722222222213E-4</v>
      </c>
      <c r="H10" s="29"/>
      <c r="I10" s="29">
        <v>9.0196759259259266E-4</v>
      </c>
      <c r="J10" s="29"/>
      <c r="K10" s="29">
        <v>9.6759259259259248E-4</v>
      </c>
      <c r="L10" s="29"/>
    </row>
    <row r="11" spans="1:24" x14ac:dyDescent="0.4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14" cm="1">
        <f t="array" ref="L11">_xlfn.IFS(K11=4,1,K11=3,2,K11=2,3,K11=1,4,K10&lt;$D$10,"Too Fast",K10="DQ","DQ")</f>
        <v>4</v>
      </c>
    </row>
    <row r="12" spans="1:24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7.8773148148148149E-4</v>
      </c>
      <c r="F12" s="29"/>
      <c r="G12" s="29">
        <v>8.5787037037037038E-4</v>
      </c>
      <c r="H12" s="29"/>
      <c r="I12" s="29">
        <v>7.8020833333333327E-4</v>
      </c>
      <c r="J12" s="29"/>
      <c r="K12" s="29">
        <v>8.1238425925925922E-4</v>
      </c>
      <c r="L12" s="29"/>
    </row>
    <row r="13" spans="1:24" x14ac:dyDescent="0.4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6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4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1.8298611111111112E-4</v>
      </c>
      <c r="F14" s="29"/>
      <c r="G14" s="29">
        <v>1.7291666666666665E-4</v>
      </c>
      <c r="H14" s="29"/>
      <c r="I14" s="29">
        <v>2.0520833333333334E-4</v>
      </c>
      <c r="J14" s="29"/>
      <c r="K14" s="29">
        <v>1.9814814814814817E-4</v>
      </c>
      <c r="L14" s="29"/>
    </row>
    <row r="15" spans="1:24" x14ac:dyDescent="0.4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9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10">IF(I14="DQ",0,IF(I14&lt;$D$14,0,1+COUNTIFS($E$14:$K$14,"DQ")+COUNTIFS($E$14:$K$14,"&lt;"&amp;$D$14)+COUNTIF($E$14:$K$14,"&gt;"&amp;I$14)))</f>
        <v>1</v>
      </c>
      <c r="J15" s="14" cm="1">
        <f t="array" ref="J15">_xlfn.IFS(I15=4,1,I15=3,2,I15=2,3,I15=1,4,I14&lt;$D$14,"Too Fast",I14="DQ","DQ")</f>
        <v>4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</row>
    <row r="16" spans="1:24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2.15625E-4</v>
      </c>
      <c r="F16" s="29"/>
      <c r="G16" s="29">
        <v>2.0902777777777776E-4</v>
      </c>
      <c r="H16" s="29"/>
      <c r="I16" s="29">
        <v>1.9062499999999998E-4</v>
      </c>
      <c r="J16" s="29"/>
      <c r="K16" s="29">
        <v>2.292824074074074E-4</v>
      </c>
      <c r="L16" s="29"/>
    </row>
    <row r="17" spans="1:12" x14ac:dyDescent="0.4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1</v>
      </c>
      <c r="L17" s="14" cm="1">
        <f t="array" ref="L17">_xlfn.IFS(K17=4,1,K17=3,2,K17=2,3,K17=1,4,K16&lt;$D$16,"Too Fast",K16="DQ","DQ")</f>
        <v>4</v>
      </c>
    </row>
    <row r="18" spans="1:12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5.3159722222222226E-4</v>
      </c>
      <c r="F18" s="29"/>
      <c r="G18" s="29">
        <v>5.4837962962962967E-4</v>
      </c>
      <c r="H18" s="29"/>
      <c r="I18" s="29">
        <v>4.9340277777777783E-4</v>
      </c>
      <c r="J18" s="29"/>
      <c r="K18" s="29">
        <v>5.4537037037037032E-4</v>
      </c>
      <c r="L18" s="29"/>
    </row>
    <row r="19" spans="1:12" x14ac:dyDescent="0.4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5">IF(G18="DQ",0,IF(G18&lt;$D$18,0,1+COUNTIFS($E$18:$K$18,"DQ")+COUNTIFS($E$18:$K$18,"&lt;"&amp;$D$18)+COUNTIF($E$18:$K$18,"&gt;"&amp;G$18)))</f>
        <v>1</v>
      </c>
      <c r="H19" s="14" cm="1">
        <f t="array" ref="H19">_xlfn.IFS(G19=4,1,G19=3,2,G19=2,3,G19=1,4,G18&lt;$D$18,"Too Fast",G18="DQ","DQ")</f>
        <v>4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5.6504629629629635E-4</v>
      </c>
      <c r="F20" s="29"/>
      <c r="G20" s="29">
        <v>5.1064814814814809E-4</v>
      </c>
      <c r="H20" s="29"/>
      <c r="I20" s="29">
        <v>4.9155092592592588E-4</v>
      </c>
      <c r="J20" s="29"/>
      <c r="K20" s="29">
        <v>6.0798611111111112E-4</v>
      </c>
      <c r="L20" s="29"/>
    </row>
    <row r="21" spans="1:12" x14ac:dyDescent="0.4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2</v>
      </c>
      <c r="F21" s="14" cm="1">
        <f t="array" ref="F21">_xlfn.IFS(E21=4,1,E21=3,2,E21=2,3,E21=1,4,E20&lt;$D$20,"Too Fast",E20="DQ","DQ")</f>
        <v>3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1</v>
      </c>
      <c r="L21" s="14" cm="1">
        <f t="array" ref="L21">_xlfn.IFS(K21=4,1,K21=3,2,K21=2,3,K21=1,4,K20&lt;$D$20,"Too Fast",K20="DQ","DQ")</f>
        <v>4</v>
      </c>
    </row>
    <row r="22" spans="1:12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4.1493055555555559E-4</v>
      </c>
      <c r="F22" s="29"/>
      <c r="G22" s="29">
        <v>4.3831018518518514E-4</v>
      </c>
      <c r="H22" s="29"/>
      <c r="I22" s="29">
        <v>4.0833333333333336E-4</v>
      </c>
      <c r="J22" s="29"/>
      <c r="K22" s="29">
        <v>4.1087962962962964E-4</v>
      </c>
      <c r="L22" s="29"/>
    </row>
    <row r="23" spans="1:12" x14ac:dyDescent="0.4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2</v>
      </c>
      <c r="F23" s="14" cm="1">
        <f t="array" ref="F23">_xlfn.IFS(E23=4,1,E23=3,2,E23=2,3,E23=1,4,E22&lt;$D$22,"Too Fast",E22="DQ","DQ")</f>
        <v>3</v>
      </c>
      <c r="G23" s="9">
        <f t="shared" ref="G23" si="21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2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 t="shared" ref="K23" si="23">IF(K22="DQ",0,IF(K22&lt;$D$22,0,1+COUNTIFS($E$22:$K$22,"DQ")+COUNTIFS($E$22:$K$22,"&lt;"&amp;$D$22)+COUNTIF($E$22:$K$22,"&gt;"&amp;K$22)))</f>
        <v>3</v>
      </c>
      <c r="L23" s="14" cm="1">
        <f t="array" ref="L23">_xlfn.IFS(K23=4,1,K23=3,2,K23=2,3,K23=1,4,K22&lt;$D$22,"Too Fast",K22="DQ","DQ")</f>
        <v>2</v>
      </c>
    </row>
    <row r="24" spans="1:12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3.8449074074074075E-4</v>
      </c>
      <c r="F24" s="29"/>
      <c r="G24" s="29">
        <v>3.996527777777778E-4</v>
      </c>
      <c r="H24" s="29"/>
      <c r="I24" s="29">
        <v>3.8564814814814815E-4</v>
      </c>
      <c r="J24" s="29"/>
      <c r="K24" s="29">
        <v>3.9641203703703702E-4</v>
      </c>
      <c r="L24" s="29"/>
    </row>
    <row r="25" spans="1:12" x14ac:dyDescent="0.4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3</v>
      </c>
      <c r="J25" s="14" cm="1">
        <f t="array" ref="J25">_xlfn.IFS(I25=4,1,I25=3,2,I25=2,3,I25=1,4,I24&lt;$D$24,"Too Fast",I24="DQ","DQ")</f>
        <v>2</v>
      </c>
      <c r="K25" s="9">
        <f t="shared" ref="K25" si="26">IF(K24="DQ",0,IF(K24&lt;$D$24,0,1+COUNTIFS($E$24:$K$24,"DQ")+COUNTIFS($E$24:$K$24,"&lt;"&amp;$D$24)+COUNTIF($E$24:$K$24,"&gt;"&amp;K$24)))</f>
        <v>2</v>
      </c>
      <c r="L25" s="14" cm="1">
        <f t="array" ref="L25">_xlfn.IFS(K25=4,1,K25=3,2,K25=2,3,K25=1,4,K24&lt;$D$24,"Too Fast",K24="DQ","DQ")</f>
        <v>3</v>
      </c>
    </row>
    <row r="26" spans="1:12" x14ac:dyDescent="0.45">
      <c r="A26" s="2"/>
      <c r="B26" s="12" t="s">
        <v>29</v>
      </c>
      <c r="C26" s="3"/>
      <c r="D26" s="16"/>
      <c r="E26" s="13">
        <f>E7+E9+E11+E13+E15+E17+E19+E21+E23+E25</f>
        <v>28</v>
      </c>
      <c r="F26" s="13"/>
      <c r="G26" s="13">
        <f t="shared" ref="G26:K26" si="27">G7+G9+G11+G13+G15+G17+G19+G21+G23+G25</f>
        <v>21</v>
      </c>
      <c r="H26" s="13"/>
      <c r="I26" s="13">
        <f t="shared" si="27"/>
        <v>33</v>
      </c>
      <c r="J26" s="13"/>
      <c r="K26" s="13">
        <f t="shared" si="27"/>
        <v>17</v>
      </c>
      <c r="L26" s="18"/>
    </row>
    <row r="27" spans="1:12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8.1817129629629622E-4</v>
      </c>
      <c r="F27" s="29"/>
      <c r="G27" s="29">
        <v>8.6666666666666663E-4</v>
      </c>
      <c r="H27" s="29"/>
      <c r="I27" s="29">
        <v>8.4918981481481488E-4</v>
      </c>
      <c r="J27" s="29"/>
      <c r="K27" s="29">
        <v>9.3495370370370368E-4</v>
      </c>
      <c r="L27" s="29"/>
    </row>
    <row r="28" spans="1:12" x14ac:dyDescent="0.4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3</v>
      </c>
      <c r="H28" s="14" cm="1">
        <f t="array" ref="H28">_xlfn.IFS(G28=4,1,G28=3,2,G28=2,3,G28=1,4,G27&lt;$D$27,"Too Fast",G27="DQ","DQ")</f>
        <v>2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7.8773148148148149E-4</v>
      </c>
      <c r="F29" s="29"/>
      <c r="G29" s="29">
        <v>8.4629629629629638E-4</v>
      </c>
      <c r="H29" s="29"/>
      <c r="I29" s="29" t="s">
        <v>104</v>
      </c>
      <c r="J29" s="29"/>
      <c r="K29" s="29">
        <v>7.2662037037037042E-4</v>
      </c>
      <c r="L29" s="29"/>
    </row>
    <row r="30" spans="1:12" x14ac:dyDescent="0.4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3</v>
      </c>
      <c r="F30" s="14" cm="1">
        <f t="array" ref="F30">_xlfn.IFS(E30=4,1,E30=3,2,E30=2,3,E30=1,4,E29&lt;$D$29,"Too Fast",E29="DQ","DQ")</f>
        <v>2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DQ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9.3564814814814823E-4</v>
      </c>
      <c r="F31" s="29"/>
      <c r="G31" s="27">
        <v>9.6064814814814819E-4</v>
      </c>
      <c r="H31" s="28"/>
      <c r="I31" s="27">
        <v>1.0065972222222223E-3</v>
      </c>
      <c r="J31" s="28"/>
      <c r="K31" s="27">
        <v>1.0296296296296297E-3</v>
      </c>
      <c r="L31" s="28"/>
    </row>
    <row r="32" spans="1:12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4</v>
      </c>
      <c r="F32" s="14" cm="1">
        <f t="array" ref="F32">_xlfn.IFS(E32=4,1,E32=3,2,E32=2,3,E32=1,4,E31&lt;$D$31,"Too Fast",E31="DQ","DQ")</f>
        <v>1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2</v>
      </c>
      <c r="J32" s="14" cm="1">
        <f t="array" ref="J32">_xlfn.IFS(I32=4,1,I32=3,2,I32=2,3,I32=1,4,I31&lt;$D$31,"Too Fast",I31="DQ","DQ")</f>
        <v>3</v>
      </c>
      <c r="K32" s="9">
        <f>IF(K31="DQ",0,IF(K31&lt;$D$31,0,1+COUNTIFS($E$31:$T$31,"DQ")+COUNTIFS($E$31:$T$31,"&lt;"&amp;$D$31)+COUNTIF($E$31:$T$31,"&gt;"&amp;K$31)))</f>
        <v>1</v>
      </c>
      <c r="L32" s="14" cm="1">
        <f t="array" ref="L32">_xlfn.IFS(K32=4,1,K32=3,2,K32=2,3,K32=1,4,K31&lt;$D$31,"Too Fast",K31="DQ","DQ")</f>
        <v>4</v>
      </c>
    </row>
    <row r="33" spans="1:21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9.9537037037037042E-4</v>
      </c>
      <c r="F33" s="29"/>
      <c r="G33" s="29">
        <v>1.0622685185185186E-3</v>
      </c>
      <c r="H33" s="29"/>
      <c r="I33" s="29">
        <v>9.505787037037037E-4</v>
      </c>
      <c r="J33" s="29"/>
      <c r="K33" s="29" t="s">
        <v>104</v>
      </c>
      <c r="L33" s="29"/>
    </row>
    <row r="34" spans="1:21" x14ac:dyDescent="0.4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0</v>
      </c>
      <c r="L34" s="14" t="str" cm="1">
        <f t="array" ref="L34">_xlfn.IFS(K34=4,1,K34=3,2,K34=2,3,K34=1,4,K33&lt;$D$33,"Too Fast",K33="DQ","DQ")</f>
        <v>DQ</v>
      </c>
    </row>
    <row r="35" spans="1:21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7.606481481481481E-4</v>
      </c>
      <c r="F35" s="29"/>
      <c r="G35" s="29">
        <v>7.6168981481481487E-4</v>
      </c>
      <c r="H35" s="29"/>
      <c r="I35" s="29">
        <v>7.1099537037037041E-4</v>
      </c>
      <c r="J35" s="29"/>
      <c r="K35" s="29">
        <v>7.7141203703703714E-4</v>
      </c>
      <c r="L35" s="29"/>
    </row>
    <row r="36" spans="1:21" x14ac:dyDescent="0.4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3</v>
      </c>
      <c r="F36" s="14" cm="1">
        <f t="array" ref="F36">_xlfn.IFS(E36=4,1,E36=3,2,E36=2,3,E36=1,4,E35&lt;$D$35,"Too Fast",E35="DQ","DQ")</f>
        <v>2</v>
      </c>
      <c r="G36" s="9">
        <f>IF(G35="DQ",0,IF(G35&lt;$D$35,0,1+COUNTIFS($E$35:$K$35,"DQ")+COUNTIFS($E$35:$K$35,"&lt;"&amp;$D$35)+COUNTIF($E$35:$K$35,"&gt;"&amp;G35)))</f>
        <v>2</v>
      </c>
      <c r="H36" s="14" cm="1">
        <f t="array" ref="H36">_xlfn.IFS(G36=4,1,G36=3,2,G36=2,3,G36=1,4,G35&lt;$D$35,"Too Fast",G35="DQ","DQ")</f>
        <v>3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1</v>
      </c>
      <c r="L36" s="14" cm="1">
        <f t="array" ref="L36">_xlfn.IFS(K36=4,1,K36=3,2,K36=2,3,K36=1,4,K35&lt;$D$35,"Too Fast",K35="DQ","DQ")</f>
        <v>4</v>
      </c>
    </row>
    <row r="37" spans="1:21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7.3425925925925926E-4</v>
      </c>
      <c r="F37" s="29"/>
      <c r="G37" s="29">
        <v>7.5694444444444453E-4</v>
      </c>
      <c r="H37" s="29"/>
      <c r="I37" s="29">
        <v>7.1469907407407409E-4</v>
      </c>
      <c r="J37" s="29"/>
      <c r="K37" s="29">
        <v>8.2546296296296285E-4</v>
      </c>
      <c r="L37" s="29"/>
    </row>
    <row r="38" spans="1:21" x14ac:dyDescent="0.4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1</v>
      </c>
      <c r="L38" s="14" cm="1">
        <f t="array" ref="L38">_xlfn.IFS(K38=4,1,K38=3,2,K38=2,3,K38=1,4,K37&lt;$D$37,"Too Fast",K37="DQ","DQ")</f>
        <v>4</v>
      </c>
      <c r="R38" s="23"/>
    </row>
    <row r="39" spans="1:21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4.4814814814814815E-4</v>
      </c>
      <c r="F39" s="29"/>
      <c r="G39" s="29">
        <v>4.803240740740741E-4</v>
      </c>
      <c r="H39" s="29"/>
      <c r="I39" s="29">
        <v>4.8240740740740742E-4</v>
      </c>
      <c r="J39" s="29"/>
      <c r="K39" s="29">
        <v>4.7893518518518521E-4</v>
      </c>
      <c r="L39" s="29"/>
      <c r="R39" s="23"/>
      <c r="S39" s="23"/>
      <c r="T39" s="23"/>
      <c r="U39" s="23"/>
    </row>
    <row r="40" spans="1:21" x14ac:dyDescent="0.4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4</v>
      </c>
      <c r="F40" s="14" cm="1">
        <f t="array" ref="F40">_xlfn.IFS(E40=4,1,E40=3,2,E40=2,3,E40=1,4,E39&lt;$D$39,"Too Fast",E39="DQ","DQ")</f>
        <v>1</v>
      </c>
      <c r="G40" s="9">
        <f>IF(G39="DQ",0,IF(G39&lt;$D$39,0,1+COUNTIFS($E$39:$K$39,"DQ")+COUNTIFS($E$39:$K$39,"&lt;"&amp;$D$39)+COUNTIF($E$39:$K$39,"&gt;"&amp;G39)))</f>
        <v>2</v>
      </c>
      <c r="H40" s="14" cm="1">
        <f t="array" ref="H40">_xlfn.IFS(G40=4,1,G40=3,2,G40=2,3,G40=1,4,G39&lt;$D$39,"Too Fast",G39="DQ","DQ")</f>
        <v>3</v>
      </c>
      <c r="I40" s="9">
        <f>IF(I39="DQ",0,IF(I39&lt;$D$39,0,1+COUNTIFS($E$39:$K$39,"DQ")+COUNTIFS($E$39:$K$39,"&lt;"&amp;$D$39)+COUNTIF($E$39:$K$39,"&gt;"&amp;I39)))</f>
        <v>1</v>
      </c>
      <c r="J40" s="14" cm="1">
        <f t="array" ref="J40">_xlfn.IFS(I40=4,1,I40=3,2,I40=2,3,I40=1,4,I39&lt;$D$39,"Too Fast",I39="DQ","DQ")</f>
        <v>4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4.5902777777777777E-4</v>
      </c>
      <c r="F41" s="29"/>
      <c r="G41" s="29">
        <v>5.0347222222222221E-4</v>
      </c>
      <c r="H41" s="29"/>
      <c r="I41" s="29">
        <v>4.5833333333333332E-4</v>
      </c>
      <c r="J41" s="29"/>
      <c r="K41" s="29">
        <v>5.2083333333333333E-4</v>
      </c>
      <c r="L41" s="29"/>
      <c r="P41" s="23"/>
      <c r="Q41" s="24"/>
    </row>
    <row r="42" spans="1:21" x14ac:dyDescent="0.4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2</v>
      </c>
      <c r="H42" s="14" cm="1">
        <f t="array" ref="H42">_xlfn.IFS(G42=4,1,G42=3,2,G42=2,3,G42=1,4,G41&lt;$D$41,"Too Fast",G41="DQ","DQ")</f>
        <v>3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IF(K41="DQ",0,IF(K41&lt;$D$41,0,1+COUNTIFS($E$41:$K$41,"DQ")+COUNTIFS($E$41:$K$41,"&lt;"&amp;$D$41)+COUNTIF($E$41:$K$41,"&gt;"&amp;K41)))</f>
        <v>1</v>
      </c>
      <c r="L42" s="14" cm="1">
        <f t="array" ref="L42">_xlfn.IFS(K42=4,1,K42=3,2,K42=2,3,K42=1,4,K41&lt;$D$41,"Too Fast",K41="DQ","DQ")</f>
        <v>4</v>
      </c>
      <c r="P42" s="23"/>
      <c r="Q42" s="24"/>
    </row>
    <row r="43" spans="1:21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8.4745370370370367E-4</v>
      </c>
      <c r="F43" s="29"/>
      <c r="G43" s="29">
        <v>9.4837962962962964E-4</v>
      </c>
      <c r="H43" s="29"/>
      <c r="I43" s="29">
        <v>8.3587962962962967E-4</v>
      </c>
      <c r="J43" s="29"/>
      <c r="K43" s="29">
        <v>8.4537037037037024E-4</v>
      </c>
      <c r="L43" s="29"/>
      <c r="P43" s="23"/>
      <c r="Q43" s="24"/>
    </row>
    <row r="44" spans="1:21" x14ac:dyDescent="0.4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2</v>
      </c>
      <c r="F44" s="14" cm="1">
        <f t="array" ref="F44">_xlfn.IFS(E44=4,1,E44=3,2,E44=2,3,E44=1,4,E43&lt;$D$43,"Too Fast",E43="DQ","DQ")</f>
        <v>3</v>
      </c>
      <c r="G44" s="9">
        <f>IF(G43="DQ",0,IF(G43&lt;$D$43,0,1+COUNTIFS($E$43:$K$43,"DQ")+COUNTIFS($E$43:$K$43,"&lt;"&amp;$D$43)+COUNTIF($E$43:$K$43,"&gt;"&amp;G43)))</f>
        <v>1</v>
      </c>
      <c r="H44" s="14" cm="1">
        <f t="array" ref="H44">_xlfn.IFS(G44=4,1,G44=3,2,G44=2,3,G44=1,4,G43&lt;$D$43,"Too Fast",G43="DQ","DQ")</f>
        <v>4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3</v>
      </c>
      <c r="L44" s="14" cm="1">
        <f t="array" ref="L44">_xlfn.IFS(K44=4,1,K44=3,2,K44=2,3,K44=1,4,K43&lt;$D$43,"Too Fast",K43="DQ","DQ")</f>
        <v>2</v>
      </c>
      <c r="Q44" s="24"/>
    </row>
    <row r="45" spans="1:21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7.8657407407407398E-4</v>
      </c>
      <c r="F45" s="29"/>
      <c r="G45" s="29">
        <v>7.9780092592592598E-4</v>
      </c>
      <c r="H45" s="29"/>
      <c r="I45" s="29">
        <v>7.3564814814814814E-4</v>
      </c>
      <c r="J45" s="29"/>
      <c r="K45" s="29">
        <v>8.2962962962962971E-4</v>
      </c>
      <c r="L45" s="29"/>
      <c r="Q45" s="24"/>
    </row>
    <row r="46" spans="1:21" x14ac:dyDescent="0.4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1</v>
      </c>
      <c r="L46" s="14" cm="1">
        <f t="array" ref="L46">_xlfn.IFS(K46=4,1,K46=3,2,K46=2,3,K46=1,4,K45&lt;$D$45,"Too Fast",K45="DQ","DQ")</f>
        <v>4</v>
      </c>
      <c r="Q46" s="24"/>
    </row>
    <row r="47" spans="1:21" x14ac:dyDescent="0.45">
      <c r="A47" s="2"/>
      <c r="B47" s="12" t="s">
        <v>40</v>
      </c>
      <c r="C47" s="2"/>
      <c r="D47" s="16"/>
      <c r="E47" s="19">
        <f>E26+E28+E30+E32+E34+E36+E38+E40+E42+E44+E46</f>
        <v>56</v>
      </c>
      <c r="F47" s="19"/>
      <c r="G47" s="19">
        <f t="shared" ref="G47:K47" si="31">G26+G28+G30+G32+G34+G36+G38+G40+G42+G44+G46</f>
        <v>42</v>
      </c>
      <c r="H47" s="19"/>
      <c r="I47" s="19">
        <f t="shared" si="31"/>
        <v>64</v>
      </c>
      <c r="J47" s="19"/>
      <c r="K47" s="19">
        <f t="shared" si="31"/>
        <v>34</v>
      </c>
      <c r="L47" s="18"/>
      <c r="Q47" s="24"/>
    </row>
    <row r="48" spans="1:21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2.5243055555555555E-4</v>
      </c>
      <c r="F48" s="29"/>
      <c r="G48" s="29" t="s">
        <v>104</v>
      </c>
      <c r="H48" s="29"/>
      <c r="I48" s="29">
        <v>2.6689814814814816E-4</v>
      </c>
      <c r="J48" s="29"/>
      <c r="K48" s="29">
        <v>2.3622685185185186E-4</v>
      </c>
      <c r="L48" s="29"/>
      <c r="Q48" s="24"/>
    </row>
    <row r="49" spans="1:17" x14ac:dyDescent="0.4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3</v>
      </c>
      <c r="F49" s="14" cm="1">
        <f t="array" ref="F49">_xlfn.IFS(E49=4,1,E49=3,2,E49=2,3,E49=1,4,E48&lt;$D$48,"Too Fast",E48="DQ","DQ")</f>
        <v>2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DQ</v>
      </c>
      <c r="I49" s="9">
        <f>IF(I48="DQ",0,IF(I48&lt;$D$48,0,1+COUNTIFS($E$48:$K$48,"DQ")+COUNTIFS($E$48:$K$48,"&lt;"&amp;$D$48)+COUNTIF($E$48:$K$48,"&gt;"&amp;I48)))</f>
        <v>2</v>
      </c>
      <c r="J49" s="14" cm="1">
        <f t="array" ref="J49">_xlfn.IFS(I49=4,1,I49=3,2,I49=2,3,I49=1,4,I48&lt;$D$48,"Too Fast",I48="DQ","DQ")</f>
        <v>3</v>
      </c>
      <c r="K49" s="9">
        <f>IF(K48="DQ",0,IF(K48&lt;$D$48,0,1+COUNTIFS($E$48:$K$48,"DQ")+COUNTIFS($E$48:$K$48,"&lt;"&amp;$D$48)+COUNTIF($E$48:$K$48,"&gt;"&amp;K48)))</f>
        <v>4</v>
      </c>
      <c r="L49" s="14" cm="1">
        <f t="array" ref="L49">_xlfn.IFS(K49=4,1,K49=3,2,K49=2,3,K49=1,4,K48&lt;$D$48,"Too Fast",K48="DQ","DQ")</f>
        <v>1</v>
      </c>
      <c r="Q49" s="24"/>
    </row>
    <row r="50" spans="1:17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2.357638888888889E-4</v>
      </c>
      <c r="F50" s="29"/>
      <c r="G50" s="29">
        <v>2.0902777777777776E-4</v>
      </c>
      <c r="H50" s="29"/>
      <c r="I50" s="29">
        <v>2.3726851851851852E-4</v>
      </c>
      <c r="J50" s="29"/>
      <c r="K50" s="29">
        <v>2.2534722222222221E-4</v>
      </c>
      <c r="L50" s="29"/>
      <c r="Q50" s="24"/>
    </row>
    <row r="51" spans="1:17" x14ac:dyDescent="0.4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2</v>
      </c>
      <c r="F51" s="14" cm="1">
        <f t="array" ref="F51">_xlfn.IFS(E51=4,1,E51=3,2,E51=2,3,E51=1,4,E50&lt;$D$50,"Too Fast",E50="DQ","DQ")</f>
        <v>3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3</v>
      </c>
      <c r="L51" s="14" cm="1">
        <f t="array" ref="L51">_xlfn.IFS(K51=4,1,K51=3,2,K51=2,3,K51=1,4,K50&lt;$D$50,"Too Fast",K50="DQ","DQ")</f>
        <v>2</v>
      </c>
      <c r="Q51" s="24"/>
    </row>
    <row r="52" spans="1:17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3.7175925925925923E-4</v>
      </c>
      <c r="F52" s="29"/>
      <c r="G52" s="29">
        <v>3.6932870370370369E-4</v>
      </c>
      <c r="H52" s="29"/>
      <c r="I52" s="29">
        <v>3.6412037037037039E-4</v>
      </c>
      <c r="J52" s="29"/>
      <c r="K52" s="29">
        <v>3.8159722222222219E-4</v>
      </c>
      <c r="L52" s="29"/>
      <c r="Q52" s="24"/>
    </row>
    <row r="53" spans="1:17" x14ac:dyDescent="0.4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2</v>
      </c>
      <c r="F53" s="14" cm="1">
        <f t="array" ref="F53">_xlfn.IFS(E53=4,1,E53=3,2,E53=2,3,E53=1,4,E52&lt;$D$52,"Too Fast",E52="DQ","DQ")</f>
        <v>3</v>
      </c>
      <c r="G53" s="9">
        <f>IF(G52="DQ",0,IF(G52&lt;$D$52,0,1+COUNTIFS($E$52:$K$52,"DQ")+COUNTIFS($E$52:$K$52,"&lt;"&amp;$D$52)+COUNTIF($E$52:$K$52,"&gt;"&amp;G52)))</f>
        <v>3</v>
      </c>
      <c r="H53" s="14" cm="1">
        <f t="array" ref="H53">_xlfn.IFS(G53=4,1,G53=3,2,G53=2,3,G53=1,4,G52&lt;$D$52,"Too Fast",G52="DQ","DQ")</f>
        <v>2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1</v>
      </c>
      <c r="L53" s="14" cm="1">
        <f t="array" ref="L53">_xlfn.IFS(K53=4,1,K53=3,2,K53=2,3,K53=1,4,K52&lt;$D$52,"Too Fast",K52="DQ","DQ")</f>
        <v>4</v>
      </c>
      <c r="Q53" s="24"/>
    </row>
    <row r="54" spans="1:17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 t="s">
        <v>104</v>
      </c>
      <c r="F54" s="29"/>
      <c r="G54" s="29">
        <v>3.7361111111111113E-4</v>
      </c>
      <c r="H54" s="29"/>
      <c r="I54" s="29">
        <v>3.7407407407407409E-4</v>
      </c>
      <c r="J54" s="29"/>
      <c r="K54" s="29">
        <v>4.288194444444444E-4</v>
      </c>
      <c r="L54" s="29"/>
      <c r="Q54" s="24"/>
    </row>
    <row r="55" spans="1:17" x14ac:dyDescent="0.4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DQ</v>
      </c>
      <c r="G55" s="9">
        <f>IF(G54="DQ",0,IF(G54&lt;$D$54,0,1+COUNTIFS($E$54:$K$54,"DQ")+COUNTIFS($E$54:$K$54,"&lt;"&amp;$D$54)+COUNTIF($E$54:$K$54,"&gt;"&amp;G54)))</f>
        <v>4</v>
      </c>
      <c r="H55" s="14" cm="1">
        <f t="array" ref="H55">_xlfn.IFS(G55=4,1,G55=3,2,G55=2,3,G55=1,4,G54&lt;$D$54,"Too Fast",G54="DQ","DQ")</f>
        <v>1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2</v>
      </c>
      <c r="L55" s="14" cm="1">
        <f t="array" ref="L55">_xlfn.IFS(K55=4,1,K55=3,2,K55=2,3,K55=1,4,K54&lt;$D$54,"Too Fast",K54="DQ","DQ")</f>
        <v>3</v>
      </c>
      <c r="Q55" s="24"/>
    </row>
    <row r="56" spans="1:17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1.6116898148148147E-3</v>
      </c>
      <c r="F56" s="29"/>
      <c r="G56" s="29">
        <v>1.7336805555555554E-3</v>
      </c>
      <c r="H56" s="29"/>
      <c r="I56" s="29">
        <v>1.6265046296296297E-3</v>
      </c>
      <c r="J56" s="29"/>
      <c r="K56" s="29">
        <v>1.6782407407407408E-3</v>
      </c>
      <c r="L56" s="29"/>
      <c r="Q56" s="24"/>
    </row>
    <row r="57" spans="1:17" x14ac:dyDescent="0.4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1</v>
      </c>
      <c r="H57" s="14" cm="1">
        <f t="array" ref="H57">_xlfn.IFS(G57=4,1,G57=3,2,G57=2,3,G57=1,4,G56&lt;$D$56,"Too Fast",G56="DQ","DQ")</f>
        <v>4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4"/>
    </row>
    <row r="58" spans="1:17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1.5614583333333333E-3</v>
      </c>
      <c r="F58" s="29"/>
      <c r="G58" s="29">
        <v>1.5219907407407406E-3</v>
      </c>
      <c r="H58" s="29"/>
      <c r="I58" s="29">
        <v>1.5819444444444446E-3</v>
      </c>
      <c r="J58" s="29"/>
      <c r="K58" s="29">
        <v>1.8001157407407408E-3</v>
      </c>
      <c r="L58" s="29"/>
      <c r="Q58" s="24"/>
    </row>
    <row r="59" spans="1:17" x14ac:dyDescent="0.4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3</v>
      </c>
      <c r="F59" s="14" cm="1">
        <f t="array" ref="F59">_xlfn.IFS(E59=4,1,E59=3,2,E59=2,3,E59=1,4,E58&lt;$D$58,"Too Fast",E58="DQ","DQ")</f>
        <v>2</v>
      </c>
      <c r="G59" s="9">
        <f>IF(G58="DQ",0,IF(G58&lt;$D$58,0,1+COUNTIFS($E$58:$K$58,"DQ")+COUNTIFS($E$58:$K$58,"&lt;"&amp;$D$58)+COUNTIF($E$58:$K$58,"&gt;"&amp;G58)))</f>
        <v>4</v>
      </c>
      <c r="H59" s="14" cm="1">
        <f t="array" ref="H59">_xlfn.IFS(G59=4,1,G59=3,2,G59=2,3,G59=1,4,G58&lt;$D$58,"Too Fast",G58="DQ","DQ")</f>
        <v>1</v>
      </c>
      <c r="I59" s="9">
        <f>IF(I58="DQ",0,IF(I58&lt;$D$58,0,1+COUNTIFS($E$58:$K$58,"DQ")+COUNTIFS($E$58:$K$58,"&lt;"&amp;$D$58)+COUNTIF($E$58:$K$58,"&gt;"&amp;I58)))</f>
        <v>2</v>
      </c>
      <c r="J59" s="14" cm="1">
        <f t="array" ref="J59">_xlfn.IFS(I59=4,1,I59=3,2,I59=2,3,I59=1,4,I58&lt;$D$58,"Too Fast",I58="DQ","DQ")</f>
        <v>3</v>
      </c>
      <c r="K59" s="9">
        <f>IF(K58="DQ",0,IF(K58&lt;$D$58,0,1+COUNTIFS($E$58:$K$58,"DQ")+COUNTIFS($E$58:$K$58,"&lt;"&amp;$D$58)+COUNTIF($E$58:$K$58,"&gt;"&amp;K58)))</f>
        <v>1</v>
      </c>
      <c r="L59" s="14" cm="1">
        <f t="array" ref="L59">_xlfn.IFS(K59=4,1,K59=3,2,K59=2,3,K59=1,4,K58&lt;$D$58,"Too Fast",K58="DQ","DQ")</f>
        <v>4</v>
      </c>
      <c r="Q59" s="24"/>
    </row>
    <row r="60" spans="1:17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1.5870370370370372E-3</v>
      </c>
      <c r="F60" s="29"/>
      <c r="G60" s="29">
        <v>1.6304398148148148E-3</v>
      </c>
      <c r="H60" s="29"/>
      <c r="I60" s="29">
        <v>1.5715277777777778E-3</v>
      </c>
      <c r="J60" s="29"/>
      <c r="K60" s="29">
        <v>1.6923611111111111E-3</v>
      </c>
      <c r="L60" s="29"/>
      <c r="Q60" s="24"/>
    </row>
    <row r="61" spans="1:17" x14ac:dyDescent="0.4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3</v>
      </c>
      <c r="F61" s="14" cm="1">
        <f t="array" ref="F61">_xlfn.IFS(E61=4,1,E61=3,2,E61=2,3,E61=1,4,E60&lt;$D$60,"Too Fast",E60="DQ","DQ")</f>
        <v>2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Q61" s="24"/>
    </row>
    <row r="62" spans="1:17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1.4608796296296297E-3</v>
      </c>
      <c r="F62" s="29"/>
      <c r="G62" s="29">
        <v>1.5878472222222223E-3</v>
      </c>
      <c r="H62" s="29"/>
      <c r="I62" s="29">
        <v>1.4304398148148149E-3</v>
      </c>
      <c r="J62" s="29"/>
      <c r="K62" s="29">
        <v>1.4549768518518518E-3</v>
      </c>
      <c r="L62" s="29"/>
      <c r="Q62" s="24"/>
    </row>
    <row r="63" spans="1:17" x14ac:dyDescent="0.4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2</v>
      </c>
      <c r="F63" s="14" cm="1">
        <f t="array" ref="F63">_xlfn.IFS(E63=4,1,E63=3,2,E63=2,3,E63=1,4,E62&lt;$D$62,"Too Fast",E62="DQ","DQ")</f>
        <v>3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Q63" s="24"/>
    </row>
    <row r="64" spans="1:17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2.3587962962962961E-4</v>
      </c>
      <c r="F64" s="29"/>
      <c r="G64" s="29">
        <v>2.4629629629629632E-4</v>
      </c>
      <c r="H64" s="29"/>
      <c r="I64" s="29">
        <v>2.5462962962962961E-4</v>
      </c>
      <c r="J64" s="29"/>
      <c r="K64" s="29">
        <v>2.6296296296296294E-4</v>
      </c>
      <c r="L64" s="29"/>
      <c r="Q64" s="24"/>
    </row>
    <row r="65" spans="1:17" x14ac:dyDescent="0.4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4</v>
      </c>
      <c r="F65" s="14" cm="1">
        <f t="array" ref="F65">_xlfn.IFS(E65=4,1,E65=3,2,E65=2,3,E65=1,4,E64&lt;$D$64,"Too Fast",E64="DQ","DQ")</f>
        <v>1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1</v>
      </c>
      <c r="L65" s="14" cm="1">
        <f t="array" ref="L65">_xlfn.IFS(K65=4,1,K65=3,2,K65=2,3,K65=1,4,K64&lt;$D$64,"Too Fast",K64="DQ","DQ")</f>
        <v>4</v>
      </c>
      <c r="Q65" s="24"/>
    </row>
    <row r="66" spans="1:17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2.398148148148148E-4</v>
      </c>
      <c r="F66" s="29"/>
      <c r="G66" s="29">
        <v>2.5972222222222222E-4</v>
      </c>
      <c r="H66" s="29"/>
      <c r="I66" s="29">
        <v>2.7199074074074072E-4</v>
      </c>
      <c r="J66" s="29"/>
      <c r="K66" s="29">
        <v>2.4050925925925927E-4</v>
      </c>
      <c r="L66" s="29"/>
      <c r="Q66" s="24"/>
    </row>
    <row r="67" spans="1:17" x14ac:dyDescent="0.4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2</v>
      </c>
      <c r="H67" s="14" cm="1">
        <f t="array" ref="H67">_xlfn.IFS(G67=4,1,G67=3,2,G67=2,3,G67=1,4,G66&lt;$D$66,"Too Fast",G66="DQ","DQ")</f>
        <v>3</v>
      </c>
      <c r="I67" s="9">
        <f>IF(I66="DQ",0,IF(I66&lt;$D$66,0,1+COUNTIFS($E$66:$K$66,"DQ")+COUNTIFS($E$66:$K$66,"&lt;"&amp;$D$66)+COUNTIF($E$66:$K$66,"&gt;"&amp;I66)))</f>
        <v>1</v>
      </c>
      <c r="J67" s="14" cm="1">
        <f t="array" ref="J67">_xlfn.IFS(I67=4,1,I67=3,2,I67=2,3,I67=1,4,I66&lt;$D$66,"Too Fast",I66="DQ","DQ")</f>
        <v>4</v>
      </c>
      <c r="K67" s="9">
        <f>IF(K66="DQ",0,IF(K66&lt;$D$66,0,1+COUNTIFS($E$66:$K$66,"DQ")+COUNTIFS($E$66:$K$66,"&lt;"&amp;$D$66)+COUNTIF($E$66:$K$66,"&gt;"&amp;K66)))</f>
        <v>3</v>
      </c>
      <c r="L67" s="14" cm="1">
        <f t="array" ref="L67">_xlfn.IFS(K67=4,1,K67=3,2,K67=2,3,K67=1,4,K66&lt;$D$66,"Too Fast",K66="DQ","DQ")</f>
        <v>2</v>
      </c>
      <c r="Q67" s="24"/>
    </row>
    <row r="68" spans="1:17" x14ac:dyDescent="0.45">
      <c r="A68" s="2"/>
      <c r="B68" s="12" t="s">
        <v>52</v>
      </c>
      <c r="C68" s="3"/>
      <c r="D68" s="16"/>
      <c r="E68" s="19">
        <f>E47+E49+E51+E53+E55+E57+E59+E61+E63+E65+E67</f>
        <v>83</v>
      </c>
      <c r="F68" s="19"/>
      <c r="G68" s="19">
        <f t="shared" ref="G68:K68" si="32">G47+G49+G51+G53+G55+G57+G59+G61+G63+G65+G67</f>
        <v>66</v>
      </c>
      <c r="H68" s="19"/>
      <c r="I68" s="19">
        <f t="shared" si="32"/>
        <v>90</v>
      </c>
      <c r="J68" s="19"/>
      <c r="K68" s="19">
        <f t="shared" si="32"/>
        <v>55</v>
      </c>
      <c r="L68" s="18"/>
      <c r="Q68" s="24"/>
    </row>
    <row r="69" spans="1:17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4.0983796296296292E-4</v>
      </c>
      <c r="F69" s="28"/>
      <c r="G69" s="27">
        <v>4.3043981481481481E-4</v>
      </c>
      <c r="H69" s="28"/>
      <c r="I69" s="27">
        <v>4.4097222222222226E-4</v>
      </c>
      <c r="J69" s="28"/>
      <c r="K69" s="27">
        <v>4.0590277777777776E-4</v>
      </c>
      <c r="L69" s="28"/>
      <c r="Q69" s="24"/>
    </row>
    <row r="70" spans="1:17" x14ac:dyDescent="0.4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4</v>
      </c>
      <c r="L70" s="14" cm="1">
        <f t="array" ref="L70">_xlfn.IFS(K70=4,1,K70=3,2,K70=2,3,K70=1,4,K69&lt;$D$69,"Too Fast",K69="DQ","DQ")</f>
        <v>1</v>
      </c>
    </row>
    <row r="71" spans="1:17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4.1446759259259263E-4</v>
      </c>
      <c r="F71" s="28"/>
      <c r="G71" s="27" t="s">
        <v>104</v>
      </c>
      <c r="H71" s="28"/>
      <c r="I71" s="27">
        <v>4.1516203703703702E-4</v>
      </c>
      <c r="J71" s="28"/>
      <c r="K71" s="27">
        <v>5.5659722222222222E-4</v>
      </c>
      <c r="L71" s="28"/>
    </row>
    <row r="72" spans="1:17" x14ac:dyDescent="0.4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4</v>
      </c>
      <c r="F72" s="14" cm="1">
        <f t="array" ref="F72">_xlfn.IFS(E72=4,1,E72=3,2,E72=2,3,E72=1,4,E71&lt;$D$71,"Too Fast",E71="DQ","DQ")</f>
        <v>1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DQ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</row>
    <row r="73" spans="1:17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3.5370370370370368E-4</v>
      </c>
      <c r="F73" s="28"/>
      <c r="G73" s="27">
        <v>3.7615740740740741E-4</v>
      </c>
      <c r="H73" s="28"/>
      <c r="I73" s="27">
        <v>3.7615740740740741E-4</v>
      </c>
      <c r="J73" s="28"/>
      <c r="K73" s="27">
        <v>3.6967592592592597E-4</v>
      </c>
      <c r="L73" s="28"/>
    </row>
    <row r="74" spans="1:17" x14ac:dyDescent="0.4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4</v>
      </c>
      <c r="F74" s="14" cm="1">
        <f t="array" ref="F74">_xlfn.IFS(E74=4,1,E74=3,2,E74=2,3,E74=1,4,E73&lt;$D$73,"Too Fast",E73="DQ","DQ")</f>
        <v>1</v>
      </c>
      <c r="G74" s="9">
        <f>IF(G73="DQ",0,IF(G73&lt;$D$73,0,1+COUNTIFS($E$73:$K$73,"DQ")+COUNTIFS($E$73:$K$73,"&lt;"&amp;$D$73)+COUNTIF($E$73:$K$73,"&gt;"&amp;G73)))</f>
        <v>1</v>
      </c>
      <c r="H74" s="14" cm="1">
        <f t="array" ref="H74">_xlfn.IFS(G74=4,1,G74=3,2,G74=2,3,G74=1,4,G73&lt;$D$73,"Too Fast",G73="DQ","DQ")</f>
        <v>4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3</v>
      </c>
      <c r="L74" s="14" cm="1">
        <f t="array" ref="L74">_xlfn.IFS(K74=4,1,K74=3,2,K74=2,3,K74=1,4,K73&lt;$D$73,"Too Fast",K73="DQ","DQ")</f>
        <v>2</v>
      </c>
    </row>
    <row r="75" spans="1:17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3.5011574074074074E-4</v>
      </c>
      <c r="F75" s="28"/>
      <c r="G75" s="27">
        <v>3.3125E-4</v>
      </c>
      <c r="H75" s="28"/>
      <c r="I75" s="27">
        <v>3.4722222222222224E-4</v>
      </c>
      <c r="J75" s="28"/>
      <c r="K75" s="27">
        <v>3.458333333333333E-4</v>
      </c>
      <c r="L75" s="28"/>
    </row>
    <row r="76" spans="1:17" x14ac:dyDescent="0.4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4</v>
      </c>
      <c r="H76" s="14" cm="1">
        <f t="array" ref="H76">_xlfn.IFS(G76=4,1,G76=3,2,G76=2,3,G76=1,4,G75&lt;$D$75,"Too Fast",G75="DQ","DQ")</f>
        <v>1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</row>
    <row r="77" spans="1:17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9.7152777777777775E-4</v>
      </c>
      <c r="F77" s="28"/>
      <c r="G77" s="27">
        <v>1.027199074074074E-3</v>
      </c>
      <c r="H77" s="28"/>
      <c r="I77" s="27">
        <v>1.0266203703703704E-3</v>
      </c>
      <c r="J77" s="28"/>
      <c r="K77" s="27">
        <v>1.0767361111111112E-3</v>
      </c>
      <c r="L77" s="28"/>
    </row>
    <row r="78" spans="1:17" x14ac:dyDescent="0.4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1</v>
      </c>
      <c r="L78" s="14" cm="1">
        <f t="array" ref="L78">_xlfn.IFS(K78=4,1,K78=3,2,K78=2,3,K78=1,4,K77&lt;$D$77,"Too Fast",K77="DQ","DQ")</f>
        <v>4</v>
      </c>
    </row>
    <row r="79" spans="1:17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9.494212962962963E-4</v>
      </c>
      <c r="F79" s="28"/>
      <c r="G79" s="27">
        <v>9.2638888888888881E-4</v>
      </c>
      <c r="H79" s="28"/>
      <c r="I79" s="27">
        <v>8.6076388888888899E-4</v>
      </c>
      <c r="J79" s="28"/>
      <c r="K79" s="27">
        <v>9.7719907407407412E-4</v>
      </c>
      <c r="L79" s="28"/>
    </row>
    <row r="80" spans="1:17" x14ac:dyDescent="0.4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2</v>
      </c>
      <c r="F80" s="14" cm="1">
        <f t="array" ref="F80">_xlfn.IFS(E80=4,1,E80=3,2,E80=2,3,E80=1,4,E79&lt;$D$79,"Too Fast",E79="DQ","DQ")</f>
        <v>3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</row>
    <row r="81" spans="1:12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8.3229166666666662E-4</v>
      </c>
      <c r="F81" s="28"/>
      <c r="G81" s="27">
        <v>8.6365740740740749E-4</v>
      </c>
      <c r="H81" s="28"/>
      <c r="I81" s="27">
        <v>8.9525462962962953E-4</v>
      </c>
      <c r="J81" s="28"/>
      <c r="K81" s="27">
        <v>9.0312500000000006E-4</v>
      </c>
      <c r="L81" s="28"/>
    </row>
    <row r="82" spans="1:12" x14ac:dyDescent="0.4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4</v>
      </c>
      <c r="F82" s="14" cm="1">
        <f t="array" ref="F82">_xlfn.IFS(E82=4,1,E82=3,2,E82=2,3,E82=1,4,E81&lt;$D$81,"Too Fast",E81="DQ","DQ")</f>
        <v>1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1</v>
      </c>
      <c r="L82" s="14" cm="1">
        <f t="array" ref="L82">_xlfn.IFS(K82=4,1,K82=3,2,K82=2,3,K82=1,4,K81&lt;$D$81,"Too Fast",K81="DQ","DQ")</f>
        <v>4</v>
      </c>
    </row>
    <row r="83" spans="1:12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8.9745370370370359E-4</v>
      </c>
      <c r="F83" s="28"/>
      <c r="G83" s="27">
        <v>9.208333333333334E-4</v>
      </c>
      <c r="H83" s="28"/>
      <c r="I83" s="27" t="s">
        <v>104</v>
      </c>
      <c r="J83" s="28"/>
      <c r="K83" s="27">
        <v>9.2777777777777769E-4</v>
      </c>
      <c r="L83" s="28"/>
    </row>
    <row r="84" spans="1:12" x14ac:dyDescent="0.4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4</v>
      </c>
      <c r="F84" s="14" cm="1">
        <f t="array" ref="F84">_xlfn.IFS(E84=4,1,E84=3,2,E84=2,3,E84=1,4,E83&lt;$D$83,"Too Fast",E83="DQ","DQ")</f>
        <v>1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DQ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</row>
    <row r="85" spans="1:12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8.9189814814814817E-4</v>
      </c>
      <c r="F85" s="28"/>
      <c r="G85" s="27">
        <v>8.6701388888888885E-4</v>
      </c>
      <c r="H85" s="28"/>
      <c r="I85" s="27">
        <v>8.3912037037037039E-4</v>
      </c>
      <c r="J85" s="28"/>
      <c r="K85" s="27">
        <v>9.2511574074074078E-4</v>
      </c>
      <c r="L85" s="28"/>
    </row>
    <row r="86" spans="1:12" x14ac:dyDescent="0.4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8.7418981481481484E-4</v>
      </c>
      <c r="F87" s="28"/>
      <c r="G87" s="27">
        <v>8.5219907407407401E-4</v>
      </c>
      <c r="H87" s="28"/>
      <c r="I87" s="27">
        <v>8.3518518518518512E-4</v>
      </c>
      <c r="J87" s="28"/>
      <c r="K87" s="27">
        <v>9.7974537037037041E-4</v>
      </c>
      <c r="L87" s="28"/>
    </row>
    <row r="88" spans="1:12" x14ac:dyDescent="0.4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1</v>
      </c>
      <c r="L88" s="14" cm="1">
        <f t="array" ref="L88">_xlfn.IFS(K88=4,1,K88=3,2,K88=2,3,K88=1,4,K87&lt;$D$87,"Too Fast",K87="DQ","DQ")</f>
        <v>4</v>
      </c>
    </row>
    <row r="89" spans="1:12" x14ac:dyDescent="0.45">
      <c r="A89" s="2"/>
      <c r="B89" s="12" t="s">
        <v>63</v>
      </c>
      <c r="C89" s="3"/>
      <c r="D89" s="16"/>
      <c r="E89" s="19">
        <f>E68+E70+E72+E74+E76+E78+E80+E82+E84+E86+E88</f>
        <v>113</v>
      </c>
      <c r="F89" s="19"/>
      <c r="G89" s="19">
        <f t="shared" ref="G89:K89" si="33">G68+G70+G72+G74+G76+G78+G80+G82+G84+G86+G88</f>
        <v>90</v>
      </c>
      <c r="H89" s="19"/>
      <c r="I89" s="19">
        <f t="shared" si="33"/>
        <v>114</v>
      </c>
      <c r="J89" s="19"/>
      <c r="K89" s="19">
        <f t="shared" si="33"/>
        <v>74</v>
      </c>
      <c r="L89" s="18"/>
    </row>
    <row r="90" spans="1:12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4.1261574074074074E-4</v>
      </c>
      <c r="F90" s="28"/>
      <c r="G90" s="27">
        <v>3.9745370370370374E-4</v>
      </c>
      <c r="H90" s="28"/>
      <c r="I90" s="27">
        <v>3.9166666666666668E-4</v>
      </c>
      <c r="J90" s="28"/>
      <c r="K90" s="27">
        <v>4.1585648148148146E-4</v>
      </c>
      <c r="L90" s="28"/>
    </row>
    <row r="91" spans="1:12" x14ac:dyDescent="0.4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2</v>
      </c>
      <c r="F91" s="14" cm="1">
        <f t="array" ref="F91">_xlfn.IFS(E91=4,1,E91=3,2,E91=2,3,E91=1,4,E90&lt;$D$90,"Too Fast",E90="DQ","DQ")</f>
        <v>3</v>
      </c>
      <c r="G91" s="9">
        <f>IF(G90="DQ",0,IF(G90&lt;$D$90,0,1+COUNTIFS($E$90:$K$90,"DQ")+COUNTIFS($E$90:$K$90,"&lt;"&amp;$D$90)+COUNTIF($E$90:$K$90,"&gt;"&amp;G90)))</f>
        <v>3</v>
      </c>
      <c r="H91" s="14" cm="1">
        <f t="array" ref="H91">_xlfn.IFS(G91=4,1,G91=3,2,G91=2,3,G91=1,4,G90&lt;$D$90,"Too Fast",G90="DQ","DQ")</f>
        <v>2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1</v>
      </c>
      <c r="L91" s="14" cm="1">
        <f t="array" ref="L91">_xlfn.IFS(K91=4,1,K91=3,2,K91=2,3,K91=1,4,K90&lt;$D$90,"Too Fast",K90="DQ","DQ")</f>
        <v>4</v>
      </c>
    </row>
    <row r="92" spans="1:12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3.7858796296296295E-4</v>
      </c>
      <c r="F92" s="28"/>
      <c r="G92" s="27">
        <v>3.7870370370370369E-4</v>
      </c>
      <c r="H92" s="28"/>
      <c r="I92" s="27">
        <v>3.7847222222222226E-4</v>
      </c>
      <c r="J92" s="28"/>
      <c r="K92" s="27">
        <v>4.130787037037037E-4</v>
      </c>
      <c r="L92" s="28"/>
    </row>
    <row r="93" spans="1:12" x14ac:dyDescent="0.4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4</v>
      </c>
      <c r="J93" s="14" cm="1">
        <f t="array" ref="J93">_xlfn.IFS(I93=4,1,I93=3,2,I93=2,3,I93=1,4,I92&lt;$D$92,"Too Fast",I92="DQ","DQ")</f>
        <v>1</v>
      </c>
      <c r="K93" s="9">
        <f>IF(K92="DQ",0,IF(K92&lt;$D$92,0,1+COUNTIFS($E$92:$K$92,"DQ")+COUNTIFS($E$92:$K$92,"&lt;"&amp;$D$92)+COUNTIF($E$92:$K$92,"&gt;"&amp;K92)))</f>
        <v>1</v>
      </c>
      <c r="L93" s="14" cm="1">
        <f t="array" ref="L93">_xlfn.IFS(K93=4,1,K93=3,2,K93=2,3,K93=1,4,K92&lt;$D$92,"Too Fast",K92="DQ","DQ")</f>
        <v>4</v>
      </c>
    </row>
    <row r="94" spans="1:12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7.5150462962962974E-4</v>
      </c>
      <c r="F94" s="28"/>
      <c r="G94" s="27">
        <v>7.5879629629629637E-4</v>
      </c>
      <c r="H94" s="28"/>
      <c r="I94" s="27">
        <v>7.5266203703703704E-4</v>
      </c>
      <c r="J94" s="28"/>
      <c r="K94" s="27">
        <v>7.8379629629629632E-4</v>
      </c>
      <c r="L94" s="28"/>
    </row>
    <row r="95" spans="1:12" x14ac:dyDescent="0.4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2</v>
      </c>
      <c r="H95" s="14" cm="1">
        <f t="array" ref="H95">_xlfn.IFS(G95=4,1,G95=3,2,G95=2,3,G95=1,4,G94&lt;$D$94,"Too Fast",G94="DQ","DQ")</f>
        <v>3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</row>
    <row r="96" spans="1:12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6.9409722222222225E-4</v>
      </c>
      <c r="F96" s="28"/>
      <c r="G96" s="27">
        <v>7.3749999999999998E-4</v>
      </c>
      <c r="H96" s="28"/>
      <c r="I96" s="27">
        <v>6.8101851851851852E-4</v>
      </c>
      <c r="J96" s="28"/>
      <c r="K96" s="27">
        <v>6.8171296296296296E-4</v>
      </c>
      <c r="L96" s="28"/>
    </row>
    <row r="97" spans="1:12" x14ac:dyDescent="0.4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2.7916666666666666E-4</v>
      </c>
      <c r="F98" s="28"/>
      <c r="G98" s="27">
        <v>2.7858796296296296E-4</v>
      </c>
      <c r="H98" s="28"/>
      <c r="I98" s="27" t="s">
        <v>104</v>
      </c>
      <c r="J98" s="28"/>
      <c r="K98" s="27">
        <v>2.9803240740740739E-4</v>
      </c>
      <c r="L98" s="28"/>
    </row>
    <row r="99" spans="1:12" x14ac:dyDescent="0.4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3</v>
      </c>
      <c r="F99" s="14" cm="1">
        <f t="array" ref="F99">_xlfn.IFS(E99=4,1,E99=3,2,E99=2,3,E99=1,4,E98&lt;$D$98,"Too Fast",E98="DQ","DQ")</f>
        <v>2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DQ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</row>
    <row r="100" spans="1:12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2.5567129629629632E-4</v>
      </c>
      <c r="F100" s="28"/>
      <c r="G100" s="27">
        <v>3.0127314814814817E-4</v>
      </c>
      <c r="H100" s="28"/>
      <c r="I100" s="27">
        <v>2.3321759259259256E-4</v>
      </c>
      <c r="J100" s="28"/>
      <c r="K100" s="27">
        <v>2.8576388888888889E-4</v>
      </c>
      <c r="L100" s="28"/>
    </row>
    <row r="101" spans="1:12" x14ac:dyDescent="0.4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1</v>
      </c>
      <c r="H101" s="14" cm="1">
        <f t="array" ref="H101">_xlfn.IFS(G101=4,1,G101=3,2,G101=2,3,G101=1,4,G100&lt;$D$100,"Too Fast",G100="DQ","DQ")</f>
        <v>4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</row>
    <row r="102" spans="1:12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4.3333333333333331E-4</v>
      </c>
      <c r="F102" s="28"/>
      <c r="G102" s="27">
        <v>4.4710648148148149E-4</v>
      </c>
      <c r="H102" s="28"/>
      <c r="I102" s="27">
        <v>4.6296296296296298E-4</v>
      </c>
      <c r="J102" s="28"/>
      <c r="K102" s="27">
        <v>4.7951388888888886E-4</v>
      </c>
      <c r="L102" s="28"/>
    </row>
    <row r="103" spans="1:12" x14ac:dyDescent="0.4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4.5289351851851854E-4</v>
      </c>
      <c r="F104" s="28"/>
      <c r="G104" s="27">
        <v>5.1400462962962956E-4</v>
      </c>
      <c r="H104" s="28"/>
      <c r="I104" s="27">
        <v>4.7129629629629626E-4</v>
      </c>
      <c r="J104" s="28"/>
      <c r="K104" s="27">
        <v>4.8391203703703704E-4</v>
      </c>
      <c r="L104" s="28"/>
    </row>
    <row r="105" spans="1:12" x14ac:dyDescent="0.4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1</v>
      </c>
      <c r="H105" s="14" cm="1">
        <f t="array" ref="H105">_xlfn.IFS(G105=4,1,G105=3,2,G105=2,3,G105=1,4,G104&lt;$D$104,"Too Fast",G104="DQ","DQ")</f>
        <v>4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</row>
    <row r="106" spans="1:12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1.4608796296296297E-3</v>
      </c>
      <c r="F106" s="28"/>
      <c r="G106" s="27">
        <v>1.5436342592592594E-3</v>
      </c>
      <c r="H106" s="28"/>
      <c r="I106" s="27">
        <v>1.4658564814814816E-3</v>
      </c>
      <c r="J106" s="28"/>
      <c r="K106" s="27">
        <v>1.4930555555555556E-3</v>
      </c>
      <c r="L106" s="28"/>
    </row>
    <row r="107" spans="1:12" x14ac:dyDescent="0.4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1</v>
      </c>
      <c r="H107" s="14" cm="1">
        <f t="array" ref="H107">_xlfn.IFS(G107=4,1,G107=3,2,G107=2,3,G107=1,4,G106&lt;$D$106,"Too Fast",G106="DQ","DQ")</f>
        <v>4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1.3844907407407408E-3</v>
      </c>
      <c r="F108" s="28"/>
      <c r="G108" s="27">
        <v>1.3813657407407407E-3</v>
      </c>
      <c r="H108" s="28"/>
      <c r="I108" s="27">
        <v>1.374074074074074E-3</v>
      </c>
      <c r="J108" s="28"/>
      <c r="K108" s="27">
        <v>1.6157407407407407E-3</v>
      </c>
      <c r="L108" s="28"/>
    </row>
    <row r="109" spans="1:12" x14ac:dyDescent="0.4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1</v>
      </c>
      <c r="L109" s="14" cm="1">
        <f t="array" ref="L109">_xlfn.IFS(K109=4,1,K109=3,2,K109=2,3,K109=1,4,K108&lt;$D$108,"Too Fast",K108="DQ","DQ")</f>
        <v>4</v>
      </c>
    </row>
    <row r="110" spans="1:12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1.4065972222222223E-3</v>
      </c>
      <c r="F110" s="28"/>
      <c r="G110" s="27">
        <v>1.4724537037037037E-3</v>
      </c>
      <c r="H110" s="28"/>
      <c r="I110" s="27">
        <v>1.4406250000000001E-3</v>
      </c>
      <c r="J110" s="28"/>
      <c r="K110" s="27">
        <v>1.5011574074074072E-3</v>
      </c>
      <c r="L110" s="28"/>
    </row>
    <row r="111" spans="1:12" x14ac:dyDescent="0.4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3</v>
      </c>
      <c r="J111" s="14" cm="1">
        <f t="array" ref="J111">_xlfn.IFS(I111=4,1,I111=3,2,I111=2,3,I111=1,4,I110&lt;$D$110,"Too Fast",I110="DQ","DQ")</f>
        <v>2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</row>
    <row r="112" spans="1:12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1.2321759259259261E-3</v>
      </c>
      <c r="F112" s="28"/>
      <c r="G112" s="27">
        <v>1.3555555555555556E-3</v>
      </c>
      <c r="H112" s="28"/>
      <c r="I112" s="27">
        <v>1.2363425925925925E-3</v>
      </c>
      <c r="J112" s="28"/>
      <c r="K112" s="27">
        <v>1.3318287037037036E-3</v>
      </c>
      <c r="L112" s="28"/>
    </row>
    <row r="113" spans="1:12" x14ac:dyDescent="0.4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1.3671296296296296E-3</v>
      </c>
      <c r="F114" s="28"/>
      <c r="G114" s="27">
        <v>1.3725694444444445E-3</v>
      </c>
      <c r="H114" s="28"/>
      <c r="I114" s="27">
        <v>1.3679398148148149E-3</v>
      </c>
      <c r="J114" s="28"/>
      <c r="K114" s="27">
        <v>1.5194444444444444E-3</v>
      </c>
      <c r="L114" s="28"/>
    </row>
    <row r="115" spans="1:12" x14ac:dyDescent="0.4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1</v>
      </c>
      <c r="L115" s="14" cm="1">
        <f t="array" ref="L115">_xlfn.IFS(K115=4,1,K115=3,2,K115=2,3,K115=1,4,K114&lt;$D$114,"Too Fast",K114="DQ","DQ")</f>
        <v>4</v>
      </c>
    </row>
    <row r="116" spans="1:12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152</v>
      </c>
      <c r="F116" s="19"/>
      <c r="G116" s="19">
        <f t="shared" ref="G116:K116" si="34">G89+G91+G93+G95+G97+G99+G101+G103+G105+G107+G109+G111+G113+G115</f>
        <v>118</v>
      </c>
      <c r="H116" s="19"/>
      <c r="I116" s="19">
        <f t="shared" si="34"/>
        <v>151</v>
      </c>
      <c r="J116" s="19"/>
      <c r="K116" s="19">
        <f t="shared" si="34"/>
        <v>96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4" width="10.1328125" customWidth="1"/>
    <col min="15" max="16" width="3.3984375" customWidth="1"/>
    <col min="17" max="17" width="14.265625" customWidth="1"/>
    <col min="18" max="18" width="24" customWidth="1"/>
    <col min="19" max="19" width="9.59765625" bestFit="1" customWidth="1"/>
    <col min="20" max="24" width="11.265625" bestFit="1" customWidth="1"/>
    <col min="27" max="27" width="12" customWidth="1"/>
  </cols>
  <sheetData>
    <row r="1" spans="1:27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27" x14ac:dyDescent="0.45">
      <c r="Q2" s="30" t="s">
        <v>1</v>
      </c>
      <c r="R2" s="33"/>
      <c r="S2" s="33"/>
      <c r="T2" s="33"/>
      <c r="U2" s="33"/>
      <c r="V2" s="33"/>
      <c r="W2" s="33"/>
      <c r="X2" s="18"/>
      <c r="Y2" s="18"/>
      <c r="Z2" s="18"/>
      <c r="AA2" s="18"/>
    </row>
    <row r="3" spans="1:27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45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4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4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4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4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4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4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4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4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4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4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4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4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4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4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4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4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4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4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4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4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4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4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4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4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4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4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4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4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4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4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4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4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4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4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4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4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4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4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4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4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4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4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4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4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4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4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4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4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4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4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4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4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6" width="10.1328125" customWidth="1"/>
    <col min="17" max="18" width="3.3984375" customWidth="1"/>
    <col min="19" max="19" width="14.265625" customWidth="1"/>
    <col min="20" max="20" width="24" customWidth="1"/>
    <col min="21" max="21" width="9.59765625" bestFit="1" customWidth="1"/>
    <col min="22" max="27" width="10.73046875" bestFit="1" customWidth="1"/>
    <col min="30" max="30" width="11.59765625" customWidth="1"/>
  </cols>
  <sheetData>
    <row r="1" spans="1:30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0" x14ac:dyDescent="0.45">
      <c r="S2" s="30" t="s">
        <v>1</v>
      </c>
      <c r="T2" s="33"/>
      <c r="U2" s="33"/>
      <c r="V2" s="33"/>
      <c r="W2" s="33"/>
      <c r="X2" s="33"/>
      <c r="Y2" s="33"/>
      <c r="Z2" s="33"/>
      <c r="AA2" s="2"/>
      <c r="AB2" s="2"/>
      <c r="AC2" s="2"/>
      <c r="AD2" s="18"/>
    </row>
    <row r="3" spans="1:30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45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4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4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4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4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4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4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4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4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4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4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4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4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4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4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4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4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4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4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4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4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4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4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4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4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4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4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4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4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4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4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4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4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4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4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4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4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4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4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4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4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4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4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4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4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4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4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4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4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4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4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4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4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18" width="10.1328125" customWidth="1"/>
    <col min="19" max="20" width="3.3984375" customWidth="1"/>
    <col min="21" max="21" width="14.265625" customWidth="1"/>
    <col min="22" max="22" width="24" customWidth="1"/>
    <col min="23" max="23" width="9.59765625" bestFit="1" customWidth="1"/>
    <col min="24" max="24" width="10.3984375" bestFit="1" customWidth="1"/>
    <col min="25" max="31" width="10.73046875" bestFit="1" customWidth="1"/>
    <col min="33" max="33" width="12.265625" customWidth="1"/>
  </cols>
  <sheetData>
    <row r="1" spans="1:33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3" x14ac:dyDescent="0.45">
      <c r="U2" s="38" t="s">
        <v>1</v>
      </c>
      <c r="V2" s="38"/>
      <c r="W2" s="38"/>
      <c r="X2" s="38"/>
      <c r="Y2" s="38"/>
      <c r="Z2" s="38"/>
      <c r="AA2" s="38"/>
      <c r="AB2" s="38"/>
      <c r="AC2" s="38"/>
      <c r="AD2" s="38"/>
      <c r="AE2" s="18"/>
      <c r="AF2" s="18"/>
      <c r="AG2" s="2"/>
    </row>
    <row r="3" spans="1:33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45">
      <c r="A4" s="35"/>
      <c r="B4" s="35"/>
      <c r="C4" s="35"/>
      <c r="D4" s="35"/>
      <c r="E4" s="36" t="s">
        <v>9</v>
      </c>
      <c r="F4" s="37"/>
      <c r="G4" s="36" t="s">
        <v>9</v>
      </c>
      <c r="H4" s="37"/>
      <c r="I4" s="36" t="s">
        <v>9</v>
      </c>
      <c r="J4" s="37"/>
      <c r="K4" s="36" t="s">
        <v>9</v>
      </c>
      <c r="L4" s="37"/>
      <c r="M4" s="36" t="s">
        <v>9</v>
      </c>
      <c r="N4" s="37"/>
      <c r="O4" s="36" t="s">
        <v>9</v>
      </c>
      <c r="P4" s="37"/>
      <c r="Q4" s="36" t="s">
        <v>9</v>
      </c>
      <c r="R4" s="37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4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4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4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4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4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4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4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4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4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4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4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4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4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4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4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4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4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4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4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4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4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4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4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45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4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4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4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4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4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4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4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45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4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45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4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4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4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4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4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4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4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4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4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4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4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4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4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4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4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4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4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4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4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4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4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4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4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4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4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4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25" x14ac:dyDescent="0.45"/>
  <cols>
    <col min="1" max="1" width="9.59765625" bestFit="1" customWidth="1"/>
    <col min="2" max="2" width="28" bestFit="1" customWidth="1"/>
    <col min="3" max="3" width="13.1328125" bestFit="1" customWidth="1"/>
    <col min="4" max="4" width="12.265625" bestFit="1" customWidth="1"/>
    <col min="5" max="20" width="10.1328125" customWidth="1"/>
    <col min="21" max="22" width="3.3984375" customWidth="1"/>
    <col min="23" max="23" width="14.265625" customWidth="1"/>
    <col min="24" max="24" width="24" customWidth="1"/>
    <col min="25" max="25" width="9.59765625" bestFit="1" customWidth="1"/>
    <col min="26" max="26" width="10.3984375" bestFit="1" customWidth="1"/>
    <col min="27" max="34" width="11.265625" bestFit="1" customWidth="1"/>
    <col min="36" max="36" width="12" customWidth="1"/>
  </cols>
  <sheetData>
    <row r="1" spans="1:36" ht="18" x14ac:dyDescent="0.55000000000000004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6" x14ac:dyDescent="0.45">
      <c r="W2" s="30" t="s">
        <v>1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1"/>
      <c r="AI2" s="18"/>
      <c r="AJ2" s="18"/>
    </row>
    <row r="3" spans="1:36" x14ac:dyDescent="0.45">
      <c r="A3" s="34"/>
      <c r="B3" s="34"/>
      <c r="C3" s="34"/>
      <c r="D3" s="34"/>
      <c r="E3" s="30" t="s">
        <v>2</v>
      </c>
      <c r="F3" s="31"/>
      <c r="G3" s="30" t="s">
        <v>3</v>
      </c>
      <c r="H3" s="31"/>
      <c r="I3" s="30" t="s">
        <v>78</v>
      </c>
      <c r="J3" s="31"/>
      <c r="K3" s="38" t="s">
        <v>82</v>
      </c>
      <c r="L3" s="38"/>
      <c r="M3" s="38" t="s">
        <v>84</v>
      </c>
      <c r="N3" s="38"/>
      <c r="O3" s="38" t="s">
        <v>86</v>
      </c>
      <c r="P3" s="38"/>
      <c r="Q3" s="38" t="s">
        <v>88</v>
      </c>
      <c r="R3" s="38"/>
      <c r="S3" s="38" t="s">
        <v>90</v>
      </c>
      <c r="T3" s="38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45">
      <c r="A4" s="35"/>
      <c r="B4" s="35"/>
      <c r="C4" s="35"/>
      <c r="D4" s="35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S4" s="39" t="s">
        <v>9</v>
      </c>
      <c r="T4" s="40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45">
      <c r="A5" s="1" t="s">
        <v>10</v>
      </c>
      <c r="B5" s="1" t="s">
        <v>11</v>
      </c>
      <c r="C5" s="1" t="s">
        <v>12</v>
      </c>
      <c r="D5" s="1" t="s">
        <v>13</v>
      </c>
      <c r="E5" s="30" t="s">
        <v>14</v>
      </c>
      <c r="F5" s="31"/>
      <c r="G5" s="30" t="s">
        <v>14</v>
      </c>
      <c r="H5" s="31"/>
      <c r="I5" s="30" t="s">
        <v>14</v>
      </c>
      <c r="J5" s="31"/>
      <c r="K5" s="38" t="s">
        <v>14</v>
      </c>
      <c r="L5" s="38"/>
      <c r="M5" s="38" t="s">
        <v>14</v>
      </c>
      <c r="N5" s="38"/>
      <c r="O5" s="38" t="s">
        <v>14</v>
      </c>
      <c r="P5" s="38"/>
      <c r="Q5" s="38" t="s">
        <v>14</v>
      </c>
      <c r="R5" s="38"/>
      <c r="S5" s="38" t="s">
        <v>14</v>
      </c>
      <c r="T5" s="38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45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4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4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4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4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4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4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4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45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4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45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4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4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4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4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4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4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4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4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4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4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4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4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4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4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4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4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4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4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4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4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4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4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4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4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4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4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4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4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4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4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4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45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4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45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4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4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4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4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4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4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4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4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4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4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4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4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4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45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4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45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4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4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4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4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4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4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4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4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4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4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4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4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4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4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4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4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4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4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4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4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4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4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4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4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4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4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4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4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4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4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4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45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4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45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4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4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4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4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4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4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4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4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4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4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4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4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4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4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4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4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Marc Williams</cp:lastModifiedBy>
  <cp:revision/>
  <dcterms:created xsi:type="dcterms:W3CDTF">2019-11-07T20:01:16Z</dcterms:created>
  <dcterms:modified xsi:type="dcterms:W3CDTF">2026-01-31T17:13:05Z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