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44735DF-F6DD-4F3D-B1BE-E8DE70A16699}" xr6:coauthVersionLast="47" xr6:coauthVersionMax="47" xr10:uidLastSave="{00000000-0000-0000-0000-000000000000}"/>
  <bookViews>
    <workbookView xWindow="-120" yWindow="-120" windowWidth="20730" windowHeight="1104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3" l="1" a="1"/>
  <c r="F59" i="3"/>
  <c r="K13" i="3"/>
  <c r="E9" i="3"/>
  <c r="P5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K115" i="3"/>
  <c r="L115" i="3" a="1"/>
  <c r="L115" i="3"/>
  <c r="I115" i="3"/>
  <c r="J115" i="3" a="1"/>
  <c r="J115" i="3"/>
  <c r="G115" i="3"/>
  <c r="H115" i="3" a="1"/>
  <c r="H115" i="3"/>
  <c r="E115" i="3"/>
  <c r="F115" i="3" a="1"/>
  <c r="F115" i="3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/>
  <c r="I40" i="3"/>
  <c r="J40" i="3" a="1"/>
  <c r="J40" i="3"/>
  <c r="G40" i="3"/>
  <c r="H40" i="3" a="1"/>
  <c r="H40" i="3"/>
  <c r="E40" i="3"/>
  <c r="F40" i="3" a="1"/>
  <c r="F40" i="3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a="1"/>
  <c r="J32" i="3"/>
  <c r="G32" i="3"/>
  <c r="H32" i="3" a="1"/>
  <c r="H32" i="3"/>
  <c r="E32" i="3"/>
  <c r="F32" i="3" a="1"/>
  <c r="F32" i="3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a="1"/>
  <c r="F113" i="3"/>
  <c r="K111" i="3"/>
  <c r="L111" i="3" a="1"/>
  <c r="L111" i="3"/>
  <c r="I111" i="3"/>
  <c r="J111" i="3" a="1"/>
  <c r="J111" i="3"/>
  <c r="G111" i="3"/>
  <c r="H111" i="3" a="1"/>
  <c r="H111" i="3"/>
  <c r="E111" i="3"/>
  <c r="F111" i="3" a="1"/>
  <c r="F111" i="3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a="1"/>
  <c r="F109" i="3"/>
  <c r="K107" i="3"/>
  <c r="L107" i="3" a="1"/>
  <c r="L107" i="3"/>
  <c r="I107" i="3"/>
  <c r="J107" i="3" a="1"/>
  <c r="J107" i="3"/>
  <c r="G107" i="3"/>
  <c r="H107" i="3" a="1"/>
  <c r="H107" i="3"/>
  <c r="E107" i="3"/>
  <c r="F107" i="3" a="1"/>
  <c r="F107" i="3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a="1"/>
  <c r="F105" i="3"/>
  <c r="K103" i="3"/>
  <c r="L103" i="3" a="1"/>
  <c r="L103" i="3"/>
  <c r="I103" i="3"/>
  <c r="J103" i="3" a="1"/>
  <c r="J103" i="3"/>
  <c r="G103" i="3"/>
  <c r="H103" i="3" a="1"/>
  <c r="H103" i="3"/>
  <c r="E103" i="3"/>
  <c r="F103" i="3" a="1"/>
  <c r="F103" i="3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a="1"/>
  <c r="F97" i="3"/>
  <c r="K95" i="3"/>
  <c r="L95" i="3" a="1"/>
  <c r="L95" i="3"/>
  <c r="I95" i="3"/>
  <c r="J95" i="3" a="1"/>
  <c r="J95" i="3"/>
  <c r="G95" i="3"/>
  <c r="H95" i="3" a="1"/>
  <c r="H95" i="3"/>
  <c r="E95" i="3"/>
  <c r="F95" i="3" a="1"/>
  <c r="F95" i="3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a="1"/>
  <c r="F93" i="3"/>
  <c r="K91" i="3"/>
  <c r="L91" i="3" a="1"/>
  <c r="L91" i="3"/>
  <c r="I91" i="3"/>
  <c r="J91" i="3" a="1"/>
  <c r="J91" i="3"/>
  <c r="G91" i="3"/>
  <c r="H91" i="3" a="1"/>
  <c r="H91" i="3"/>
  <c r="E91" i="3"/>
  <c r="F91" i="3" a="1"/>
  <c r="F91" i="3"/>
  <c r="K88" i="3"/>
  <c r="L88" i="3" a="1"/>
  <c r="L88" i="3"/>
  <c r="I88" i="3"/>
  <c r="J88" i="3" a="1"/>
  <c r="J88" i="3"/>
  <c r="G88" i="3"/>
  <c r="H88" i="3" a="1"/>
  <c r="H88" i="3"/>
  <c r="E88" i="3"/>
  <c r="F88" i="3" a="1"/>
  <c r="F88" i="3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a="1"/>
  <c r="F86" i="3"/>
  <c r="K84" i="3"/>
  <c r="L84" i="3" a="1"/>
  <c r="L84" i="3"/>
  <c r="I84" i="3"/>
  <c r="J84" i="3" a="1"/>
  <c r="J84" i="3"/>
  <c r="G84" i="3"/>
  <c r="H84" i="3" a="1"/>
  <c r="H84" i="3"/>
  <c r="E84" i="3"/>
  <c r="F84" i="3" a="1"/>
  <c r="F84" i="3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a="1"/>
  <c r="F82" i="3"/>
  <c r="K80" i="3"/>
  <c r="L80" i="3" a="1"/>
  <c r="L80" i="3"/>
  <c r="I80" i="3"/>
  <c r="J80" i="3" a="1"/>
  <c r="J80" i="3"/>
  <c r="G80" i="3"/>
  <c r="H80" i="3" a="1"/>
  <c r="H80" i="3"/>
  <c r="E80" i="3"/>
  <c r="F80" i="3" a="1"/>
  <c r="F80" i="3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a="1"/>
  <c r="L76" i="3"/>
  <c r="I76" i="3"/>
  <c r="J76" i="3" a="1"/>
  <c r="J76" i="3"/>
  <c r="G76" i="3"/>
  <c r="H76" i="3" a="1"/>
  <c r="H76" i="3"/>
  <c r="E76" i="3"/>
  <c r="F76" i="3" a="1"/>
  <c r="F76" i="3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a="1"/>
  <c r="L72" i="3"/>
  <c r="I72" i="3"/>
  <c r="J72" i="3" a="1"/>
  <c r="J72" i="3"/>
  <c r="G72" i="3"/>
  <c r="H72" i="3" a="1"/>
  <c r="H72" i="3"/>
  <c r="E72" i="3"/>
  <c r="F72" i="3" a="1"/>
  <c r="F72" i="3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a="1"/>
  <c r="L65" i="3"/>
  <c r="I65" i="3"/>
  <c r="J65" i="3" a="1"/>
  <c r="J65" i="3"/>
  <c r="G65" i="3"/>
  <c r="H65" i="3" a="1"/>
  <c r="H65" i="3"/>
  <c r="E65" i="3"/>
  <c r="F65" i="3" a="1"/>
  <c r="F65" i="3"/>
  <c r="K63" i="3"/>
  <c r="L63" i="3" a="1"/>
  <c r="L63" i="3"/>
  <c r="I63" i="3"/>
  <c r="J63" i="3" a="1"/>
  <c r="J63" i="3"/>
  <c r="G63" i="3"/>
  <c r="H63" i="3" a="1"/>
  <c r="H63" i="3"/>
  <c r="E63" i="3"/>
  <c r="F63" i="3" a="1"/>
  <c r="F63" i="3"/>
  <c r="K61" i="3"/>
  <c r="L61" i="3" a="1"/>
  <c r="L61" i="3"/>
  <c r="I61" i="3"/>
  <c r="J61" i="3" a="1"/>
  <c r="J61" i="3"/>
  <c r="G61" i="3"/>
  <c r="H61" i="3" a="1"/>
  <c r="H61" i="3"/>
  <c r="E61" i="3"/>
  <c r="F61" i="3" a="1"/>
  <c r="F61" i="3"/>
  <c r="K59" i="3"/>
  <c r="L59" i="3" s="1" a="1"/>
  <c r="L59" i="3" s="1"/>
  <c r="I59" i="3"/>
  <c r="J59" i="3" s="1" a="1"/>
  <c r="J59" i="3" s="1"/>
  <c r="G59" i="3"/>
  <c r="H59" i="3" s="1" a="1"/>
  <c r="H59" i="3" s="1"/>
  <c r="E59" i="3"/>
  <c r="K57" i="3"/>
  <c r="L57" i="3" a="1"/>
  <c r="L57" i="3"/>
  <c r="I57" i="3"/>
  <c r="J57" i="3" a="1"/>
  <c r="J57" i="3"/>
  <c r="G57" i="3"/>
  <c r="H57" i="3" a="1"/>
  <c r="H57" i="3"/>
  <c r="E57" i="3"/>
  <c r="F57" i="3" a="1"/>
  <c r="F57" i="3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a="1"/>
  <c r="L53" i="3"/>
  <c r="I53" i="3"/>
  <c r="J53" i="3" a="1"/>
  <c r="J53" i="3"/>
  <c r="G53" i="3"/>
  <c r="H53" i="3" a="1"/>
  <c r="H53" i="3"/>
  <c r="E53" i="3"/>
  <c r="F53" i="3" a="1"/>
  <c r="F53" i="3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/>
  <c r="I46" i="3"/>
  <c r="J46" i="3" a="1"/>
  <c r="J46" i="3"/>
  <c r="G46" i="3"/>
  <c r="H46" i="3" a="1"/>
  <c r="H46" i="3"/>
  <c r="E46" i="3"/>
  <c r="F46" i="3" a="1"/>
  <c r="F46" i="3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a="1"/>
  <c r="L42" i="3"/>
  <c r="I42" i="3"/>
  <c r="J42" i="3" a="1"/>
  <c r="J42" i="3"/>
  <c r="G42" i="3"/>
  <c r="H42" i="3" a="1"/>
  <c r="H42" i="3"/>
  <c r="E42" i="3"/>
  <c r="F42" i="3" a="1"/>
  <c r="F42" i="3"/>
  <c r="K38" i="3"/>
  <c r="L38" i="3" a="1"/>
  <c r="L38" i="3"/>
  <c r="I38" i="3"/>
  <c r="J38" i="3" a="1"/>
  <c r="J38" i="3"/>
  <c r="G38" i="3"/>
  <c r="H38" i="3" a="1"/>
  <c r="H38" i="3"/>
  <c r="E38" i="3"/>
  <c r="F38" i="3" a="1"/>
  <c r="F38" i="3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a="1"/>
  <c r="L34" i="3"/>
  <c r="I34" i="3"/>
  <c r="J34" i="3" a="1"/>
  <c r="J34" i="3"/>
  <c r="G34" i="3"/>
  <c r="H34" i="3" a="1"/>
  <c r="H34" i="3"/>
  <c r="E34" i="3"/>
  <c r="F34" i="3" a="1"/>
  <c r="F34" i="3"/>
  <c r="K30" i="3"/>
  <c r="L30" i="3" a="1"/>
  <c r="L30" i="3"/>
  <c r="I30" i="3"/>
  <c r="J30" i="3" a="1"/>
  <c r="J30" i="3"/>
  <c r="G30" i="3"/>
  <c r="H30" i="3" a="1"/>
  <c r="H30" i="3"/>
  <c r="E30" i="3"/>
  <c r="F30" i="3" a="1"/>
  <c r="F30" i="3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a="1"/>
  <c r="L23" i="3"/>
  <c r="I23" i="3"/>
  <c r="J23" i="3" a="1"/>
  <c r="J23" i="3"/>
  <c r="G23" i="3"/>
  <c r="H23" i="3" a="1"/>
  <c r="H23" i="3"/>
  <c r="E23" i="3"/>
  <c r="F23" i="3" a="1"/>
  <c r="F23" i="3"/>
  <c r="K21" i="3"/>
  <c r="L21" i="3" s="1" a="1"/>
  <c r="L21" i="3" s="1"/>
  <c r="I21" i="3"/>
  <c r="J21" i="3" s="1" a="1"/>
  <c r="J21" i="3" s="1"/>
  <c r="G21" i="3"/>
  <c r="H21" i="3" s="1" a="1"/>
  <c r="H21" i="3" s="1"/>
  <c r="E21" i="3"/>
  <c r="F21" i="3" s="1" a="1"/>
  <c r="F21" i="3" s="1"/>
  <c r="K19" i="3"/>
  <c r="L19" i="3" a="1"/>
  <c r="L19" i="3"/>
  <c r="I19" i="3"/>
  <c r="J19" i="3" a="1"/>
  <c r="J19" i="3"/>
  <c r="G19" i="3"/>
  <c r="H19" i="3" a="1"/>
  <c r="H19" i="3"/>
  <c r="E19" i="3"/>
  <c r="F19" i="3" a="1"/>
  <c r="F19" i="3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a="1"/>
  <c r="L15" i="3"/>
  <c r="I15" i="3"/>
  <c r="J15" i="3" a="1"/>
  <c r="J15" i="3"/>
  <c r="G15" i="3"/>
  <c r="H15" i="3" a="1"/>
  <c r="H15" i="3"/>
  <c r="E15" i="3"/>
  <c r="F15" i="3" a="1"/>
  <c r="F15" i="3"/>
  <c r="L13" i="3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F9" i="3" a="1"/>
  <c r="F9" i="3" s="1"/>
  <c r="P7" i="3"/>
  <c r="K7" i="3"/>
  <c r="L7" i="3" s="1" a="1"/>
  <c r="L7" i="3" s="1"/>
  <c r="I7" i="3"/>
  <c r="J7" i="3" s="1" a="1"/>
  <c r="J7" i="3" s="1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 s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s="1" a="1"/>
  <c r="F88" i="1" s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M26" i="1" s="1"/>
  <c r="M47" i="1" s="1"/>
  <c r="M68" i="1" s="1"/>
  <c r="O7" i="1"/>
  <c r="O26" i="1" s="1"/>
  <c r="O47" i="1" s="1"/>
  <c r="O68" i="1" s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K68" i="2"/>
  <c r="K89" i="2" s="1"/>
  <c r="K116" i="2" s="1"/>
  <c r="AF7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S5" i="6" l="1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G47" i="3" s="1"/>
  <c r="G68" i="3" s="1"/>
  <c r="G89" i="3" s="1"/>
  <c r="G116" i="3" s="1"/>
  <c r="W5" i="3" s="1"/>
  <c r="E26" i="3"/>
  <c r="E47" i="3" s="1"/>
  <c r="E68" i="3" s="1"/>
  <c r="E89" i="3" s="1"/>
  <c r="E116" i="3" s="1"/>
  <c r="W4" i="3" s="1"/>
  <c r="K26" i="1"/>
  <c r="K47" i="1" s="1"/>
  <c r="K68" i="1" s="1"/>
  <c r="I26" i="3"/>
  <c r="I47" i="3" s="1"/>
  <c r="I68" i="3" s="1"/>
  <c r="I89" i="3" s="1"/>
  <c r="I116" i="3" s="1"/>
  <c r="W6" i="3" s="1"/>
  <c r="F7" i="3" a="1"/>
  <c r="F7" i="3" s="1"/>
  <c r="Q4" i="3" s="1"/>
  <c r="H7" i="3" a="1"/>
  <c r="H7" i="3" s="1"/>
  <c r="U5" i="3" s="1"/>
  <c r="K26" i="3"/>
  <c r="K47" i="3" s="1"/>
  <c r="K68" i="3" s="1"/>
  <c r="K89" i="3" s="1"/>
  <c r="K116" i="3" s="1"/>
  <c r="W7" i="3" s="1"/>
  <c r="U6" i="3"/>
  <c r="T6" i="3"/>
  <c r="S6" i="3"/>
  <c r="R6" i="3"/>
  <c r="Q6" i="3"/>
  <c r="V6" i="3"/>
  <c r="S7" i="3"/>
  <c r="R7" i="3"/>
  <c r="U7" i="3"/>
  <c r="Q7" i="3"/>
  <c r="V7" i="3"/>
  <c r="T7" i="3"/>
  <c r="P7" i="1" a="1"/>
  <c r="P7" i="1" s="1"/>
  <c r="AD9" i="1" s="1"/>
  <c r="E26" i="1"/>
  <c r="E47" i="1" s="1"/>
  <c r="E68" i="1" s="1"/>
  <c r="E89" i="1" s="1"/>
  <c r="E116" i="1" s="1"/>
  <c r="AI4" i="1" s="1"/>
  <c r="Q26" i="1"/>
  <c r="Q47" i="1" s="1"/>
  <c r="Q68" i="1" s="1"/>
  <c r="Q89" i="1" s="1"/>
  <c r="Q116" i="1" s="1"/>
  <c r="AI10" i="1" s="1"/>
  <c r="N7" i="1" a="1"/>
  <c r="N7" i="1" s="1"/>
  <c r="AE8" i="1" s="1"/>
  <c r="I26" i="1"/>
  <c r="I47" i="1" s="1"/>
  <c r="I68" i="1" s="1"/>
  <c r="I89" i="1" s="1"/>
  <c r="I116" i="1" s="1"/>
  <c r="AI6" i="1" s="1"/>
  <c r="G26" i="1"/>
  <c r="G47" i="1" s="1"/>
  <c r="G68" i="1" s="1"/>
  <c r="S68" i="1"/>
  <c r="S89" i="1" s="1"/>
  <c r="S116" i="1" s="1"/>
  <c r="AI11" i="1" s="1"/>
  <c r="AC7" i="1"/>
  <c r="AB5" i="1"/>
  <c r="AH9" i="1"/>
  <c r="O89" i="1"/>
  <c r="O116" i="1" s="1"/>
  <c r="AI9" i="1" s="1"/>
  <c r="M89" i="1"/>
  <c r="M116" i="1" s="1"/>
  <c r="AI8" i="1" s="1"/>
  <c r="K89" i="1"/>
  <c r="K116" i="1" s="1"/>
  <c r="AI7" i="1" s="1"/>
  <c r="G89" i="1"/>
  <c r="G116" i="1" s="1"/>
  <c r="AI5" i="1" s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V4" i="3" l="1"/>
  <c r="S4" i="3"/>
  <c r="T4" i="3"/>
  <c r="U4" i="3"/>
  <c r="R4" i="3"/>
  <c r="T5" i="3"/>
  <c r="Q5" i="3"/>
  <c r="R5" i="3"/>
  <c r="S5" i="3"/>
  <c r="V5" i="3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<sst xmlns="http://schemas.openxmlformats.org/spreadsheetml/2006/main" count="1362" uniqueCount="105">
  <si>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</si>
  <si>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</si>
  <si>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</si>
  <si>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</si>
  <si>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</si>
  <si>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</si>
  <si>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</si>
  <si>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</si>
  <si>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</si>
  <si>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</si>
  <si>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</si>
  <si>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</si>
  <si>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</si>
  <si>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</si>
  <si>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</si>
  <si>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</si>
  <si>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</si>
  <si>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</si>
  <si>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</si>
  <si>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</si>
  <si>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</si>
  <si>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</si>
  <si>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</si>
  <si>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</si>
  <si>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</si>
  <si>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</si>
  <si>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</si>
  <si>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</si>
  <si>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</si>
  <si>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</si>
  <si>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</si>
  <si>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</si>
  <si>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</si>
  <si>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</si>
  <si>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</si>
  <si>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</si>
  <si>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</si>
  <si>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</si>
  <si>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</si>
  <si>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</si>
  <si>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</si>
  <si>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</si>
  <si>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</si>
  <si>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</si>
  <si>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</si>
  <si>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</si>
  <si>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</si>
  <si>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</si>
  <si>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</si>
  <si>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</si>
  <si>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</si>
  <si>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</si>
  <si>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</si>
  <si>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</si>
  <si>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</si>
  <si>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</si>
  <si>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</si>
  <si>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</si>
  <si>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</si>
  <si>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</si>
  <si>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</si>
  <si>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</si>
  <si>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</si>
  <si>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</si>
  <si>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</si>
  <si>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</si>
  <si>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</si>
  <si>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</si>
  <si>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</si>
  <si>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</si>
  <si>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</si>
  <si>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</si>
  <si>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</si>
  <si>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</si>
  <si>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</si>
  <si>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</si>
  <si>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</si>
  <si>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</si>
  <si>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</si>
  <si>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</si>
  <si>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</si>
  <si>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</si>
  <si>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</si>
  <si>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</si>
  <si>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</si>
  <si>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</si>
  <si>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</si>
  <si>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</si>
  <si>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</si>
  <si>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</si>
  <si>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</si>
  <si>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</si>
  <si>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</si>
  <si>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</si>
  <si>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</si>
  <si>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</si>
  <si>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</si>
  <si>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</si>
  <si>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</si>
  <si>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</si>
  <si>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Monnow</t>
  </si>
  <si>
    <t>Newport</t>
  </si>
  <si>
    <t>Dursley</t>
  </si>
  <si>
    <t>Cwmbran</t>
  </si>
  <si>
    <t>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</si>
</sst>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164" fontId="9" fillId="0" borderId="7" xfId="1" applyNumberForma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00@35.7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5" x14ac:dyDescent="0.25"/>
  <cols>
    <col min="1" max="1" width="14.140625" customWidth="1"/>
  </cols>
  <sheetData>
    <row r="4" spans="1:1" x14ac:dyDescent="0.25">
      <c r="A4" s="25"/>
    </row>
    <row r="5" spans="1:1" x14ac:dyDescent="0.2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8" width="10.140625" customWidth="1"/>
    <col min="9" max="10" width="3.42578125" customWidth="1"/>
    <col min="11" max="11" width="14.28515625" customWidth="1"/>
    <col min="12" max="12" width="24" customWidth="1"/>
    <col min="13" max="13" width="9.5703125" bestFit="1" customWidth="1"/>
    <col min="14" max="14" width="10.42578125" bestFit="1" customWidth="1"/>
    <col min="15" max="15" width="7.5703125" customWidth="1"/>
    <col min="18" max="18" width="11.140625" customWidth="1"/>
  </cols>
  <sheetData>
    <row r="1" spans="1:18" ht="18.75" x14ac:dyDescent="0.3">
      <c r="A1" s="27" t="s">
        <v>0</v>
      </c>
      <c r="B1" s="27"/>
      <c r="C1" s="27"/>
      <c r="D1" s="27"/>
      <c r="E1" s="27"/>
      <c r="F1" s="27"/>
      <c r="G1" s="27"/>
      <c r="H1" s="27"/>
    </row>
    <row r="2" spans="1:18" x14ac:dyDescent="0.25">
      <c r="K2" s="28" t="s">
        <v>1</v>
      </c>
      <c r="L2" s="29"/>
      <c r="M2" s="29"/>
      <c r="N2" s="29"/>
      <c r="O2" s="29"/>
      <c r="P2" s="30"/>
      <c r="Q2" s="18"/>
      <c r="R2" s="18"/>
    </row>
    <row r="3" spans="1:18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25">
      <c r="A4" s="32"/>
      <c r="B4" s="32"/>
      <c r="C4" s="32"/>
      <c r="D4" s="32"/>
      <c r="E4" s="33" t="s">
        <v>9</v>
      </c>
      <c r="F4" s="34"/>
      <c r="G4" s="33" t="s">
        <v>9</v>
      </c>
      <c r="H4" s="34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</row>
    <row r="7" spans="1:18" x14ac:dyDescent="0.2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</row>
    <row r="9" spans="1:18" x14ac:dyDescent="0.2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</row>
    <row r="11" spans="1:18" x14ac:dyDescent="0.2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</row>
    <row r="13" spans="1:18" x14ac:dyDescent="0.2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5"/>
      <c r="F14" s="36"/>
      <c r="G14" s="37"/>
      <c r="H14" s="37"/>
    </row>
    <row r="15" spans="1:18" x14ac:dyDescent="0.2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5"/>
      <c r="F16" s="36"/>
      <c r="G16" s="37"/>
      <c r="H16" s="37"/>
    </row>
    <row r="17" spans="1:8" x14ac:dyDescent="0.2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</row>
    <row r="19" spans="1:8" x14ac:dyDescent="0.2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</row>
    <row r="21" spans="1:8" x14ac:dyDescent="0.2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</row>
    <row r="23" spans="1:8" x14ac:dyDescent="0.2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</row>
    <row r="25" spans="1:8" x14ac:dyDescent="0.2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</row>
    <row r="28" spans="1:8" x14ac:dyDescent="0.2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</row>
    <row r="30" spans="1:8" x14ac:dyDescent="0.2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7"/>
      <c r="H31" s="37"/>
    </row>
    <row r="32" spans="1:8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</row>
    <row r="34" spans="1:8" x14ac:dyDescent="0.2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</row>
    <row r="36" spans="1:8" x14ac:dyDescent="0.2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</row>
    <row r="38" spans="1:8" x14ac:dyDescent="0.2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</row>
    <row r="40" spans="1:8" x14ac:dyDescent="0.2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</row>
    <row r="42" spans="1:8" x14ac:dyDescent="0.2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</row>
    <row r="44" spans="1:8" x14ac:dyDescent="0.2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</row>
    <row r="46" spans="1:8" x14ac:dyDescent="0.2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</row>
    <row r="49" spans="1:8" x14ac:dyDescent="0.2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</row>
    <row r="51" spans="1:8" x14ac:dyDescent="0.2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</row>
    <row r="53" spans="1:8" x14ac:dyDescent="0.2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</row>
    <row r="55" spans="1:8" x14ac:dyDescent="0.2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</row>
    <row r="57" spans="1:8" x14ac:dyDescent="0.2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</row>
    <row r="59" spans="1:8" x14ac:dyDescent="0.2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</row>
    <row r="61" spans="1:8" x14ac:dyDescent="0.2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</row>
    <row r="63" spans="1:8" x14ac:dyDescent="0.2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</row>
    <row r="65" spans="1:8" x14ac:dyDescent="0.2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</row>
    <row r="67" spans="1:8" x14ac:dyDescent="0.2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</row>
    <row r="70" spans="1:8" x14ac:dyDescent="0.2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</row>
    <row r="72" spans="1:8" x14ac:dyDescent="0.2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</row>
    <row r="74" spans="1:8" x14ac:dyDescent="0.2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</row>
    <row r="76" spans="1:8" x14ac:dyDescent="0.2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</row>
    <row r="78" spans="1:8" x14ac:dyDescent="0.2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</row>
    <row r="80" spans="1:8" x14ac:dyDescent="0.2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</row>
    <row r="82" spans="1:8" x14ac:dyDescent="0.2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</row>
    <row r="84" spans="1:8" x14ac:dyDescent="0.2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</row>
    <row r="86" spans="1:8" x14ac:dyDescent="0.2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</row>
    <row r="88" spans="1:8" x14ac:dyDescent="0.2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</row>
    <row r="91" spans="1:8" x14ac:dyDescent="0.2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</row>
    <row r="93" spans="1:8" x14ac:dyDescent="0.2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</row>
    <row r="95" spans="1:8" x14ac:dyDescent="0.2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</row>
    <row r="97" spans="1:8" x14ac:dyDescent="0.2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/>
      <c r="F98" s="36"/>
      <c r="G98" s="35"/>
      <c r="H98" s="36"/>
    </row>
    <row r="99" spans="1:8" x14ac:dyDescent="0.2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/>
      <c r="F100" s="36"/>
      <c r="G100" s="35"/>
      <c r="H100" s="36"/>
    </row>
    <row r="101" spans="1:8" x14ac:dyDescent="0.2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</row>
    <row r="103" spans="1:8" x14ac:dyDescent="0.2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</row>
    <row r="105" spans="1:8" x14ac:dyDescent="0.2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</row>
    <row r="107" spans="1:8" x14ac:dyDescent="0.2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</row>
    <row r="109" spans="1:8" x14ac:dyDescent="0.2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</row>
    <row r="111" spans="1:8" x14ac:dyDescent="0.2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</row>
    <row r="113" spans="1:8" x14ac:dyDescent="0.2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</row>
    <row r="115" spans="1:8" x14ac:dyDescent="0.2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10" width="10.140625" customWidth="1"/>
    <col min="11" max="12" width="3.42578125" customWidth="1"/>
    <col min="13" max="13" width="14.28515625" customWidth="1"/>
    <col min="14" max="14" width="24" customWidth="1"/>
    <col min="15" max="15" width="9.5703125" bestFit="1" customWidth="1"/>
    <col min="16" max="16" width="10.42578125" bestFit="1" customWidth="1"/>
    <col min="17" max="17" width="9.85546875" bestFit="1" customWidth="1"/>
    <col min="18" max="20" width="11.28515625" bestFit="1" customWidth="1"/>
    <col min="21" max="21" width="11.140625" customWidth="1"/>
  </cols>
  <sheetData>
    <row r="1" spans="1:20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20" x14ac:dyDescent="0.25">
      <c r="M2" s="28" t="s">
        <v>1</v>
      </c>
      <c r="N2" s="29"/>
      <c r="O2" s="29"/>
      <c r="P2" s="29"/>
      <c r="Q2" s="29"/>
      <c r="R2" s="29"/>
      <c r="S2" s="30"/>
      <c r="T2" s="18"/>
    </row>
    <row r="3" spans="1:20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25">
      <c r="A4" s="32"/>
      <c r="B4" s="32"/>
      <c r="C4" s="32"/>
      <c r="D4" s="32"/>
      <c r="E4" s="33" t="s">
        <v>9</v>
      </c>
      <c r="F4" s="34"/>
      <c r="G4" s="33" t="s">
        <v>9</v>
      </c>
      <c r="H4" s="34"/>
      <c r="I4" s="33" t="s">
        <v>9</v>
      </c>
      <c r="J4" s="34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  <c r="I8" s="35"/>
      <c r="J8" s="36"/>
    </row>
    <row r="9" spans="1:20" x14ac:dyDescent="0.2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  <c r="I10" s="37"/>
      <c r="J10" s="37"/>
    </row>
    <row r="11" spans="1:20" x14ac:dyDescent="0.2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  <c r="I12" s="37"/>
      <c r="J12" s="37"/>
    </row>
    <row r="13" spans="1:20" x14ac:dyDescent="0.2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5"/>
      <c r="F14" s="36"/>
      <c r="G14" s="37"/>
      <c r="H14" s="37"/>
      <c r="I14" s="37"/>
      <c r="J14" s="37"/>
    </row>
    <row r="15" spans="1:20" x14ac:dyDescent="0.2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5"/>
      <c r="F16" s="36"/>
      <c r="G16" s="37"/>
      <c r="H16" s="37"/>
      <c r="I16" s="37"/>
      <c r="J16" s="37"/>
    </row>
    <row r="17" spans="1:10" x14ac:dyDescent="0.2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  <c r="I18" s="37"/>
      <c r="J18" s="37"/>
    </row>
    <row r="19" spans="1:10" x14ac:dyDescent="0.2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  <c r="I20" s="37"/>
      <c r="J20" s="37"/>
    </row>
    <row r="21" spans="1:10" x14ac:dyDescent="0.2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  <c r="I22" s="37"/>
      <c r="J22" s="37"/>
    </row>
    <row r="23" spans="1:10" x14ac:dyDescent="0.2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  <c r="I24" s="37"/>
      <c r="J24" s="37"/>
    </row>
    <row r="25" spans="1:10" x14ac:dyDescent="0.2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</row>
    <row r="28" spans="1:10" x14ac:dyDescent="0.2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6"/>
      <c r="G29" s="35"/>
      <c r="H29" s="36"/>
      <c r="I29" s="35"/>
      <c r="J29" s="36"/>
    </row>
    <row r="30" spans="1:10" x14ac:dyDescent="0.2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5"/>
      <c r="F31" s="36"/>
      <c r="G31" s="35"/>
      <c r="H31" s="36"/>
      <c r="I31" s="35"/>
      <c r="J31" s="36"/>
    </row>
    <row r="32" spans="1:10" x14ac:dyDescent="0.2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</row>
    <row r="34" spans="1:10" x14ac:dyDescent="0.2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</row>
    <row r="36" spans="1:10" x14ac:dyDescent="0.2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</row>
    <row r="38" spans="1:10" x14ac:dyDescent="0.2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</row>
    <row r="40" spans="1:10" x14ac:dyDescent="0.2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</row>
    <row r="42" spans="1:10" x14ac:dyDescent="0.2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</row>
    <row r="44" spans="1:10" x14ac:dyDescent="0.2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</row>
    <row r="46" spans="1:10" x14ac:dyDescent="0.2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</row>
    <row r="49" spans="1:10" x14ac:dyDescent="0.2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</row>
    <row r="51" spans="1:10" x14ac:dyDescent="0.2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</row>
    <row r="53" spans="1:10" x14ac:dyDescent="0.2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</row>
    <row r="55" spans="1:10" x14ac:dyDescent="0.2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</row>
    <row r="57" spans="1:10" x14ac:dyDescent="0.2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</row>
    <row r="59" spans="1:10" x14ac:dyDescent="0.2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</row>
    <row r="61" spans="1:10" x14ac:dyDescent="0.2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</row>
    <row r="63" spans="1:10" x14ac:dyDescent="0.2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</row>
    <row r="65" spans="1:10" x14ac:dyDescent="0.2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</row>
    <row r="67" spans="1:10" x14ac:dyDescent="0.2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  <c r="I69" s="35"/>
      <c r="J69" s="36"/>
    </row>
    <row r="70" spans="1:10" x14ac:dyDescent="0.2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  <c r="I71" s="35"/>
      <c r="J71" s="36"/>
    </row>
    <row r="72" spans="1:10" x14ac:dyDescent="0.2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  <c r="I73" s="35"/>
      <c r="J73" s="36"/>
    </row>
    <row r="74" spans="1:10" x14ac:dyDescent="0.2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  <c r="I75" s="35"/>
      <c r="J75" s="36"/>
    </row>
    <row r="76" spans="1:10" x14ac:dyDescent="0.2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  <c r="I77" s="35"/>
      <c r="J77" s="36"/>
    </row>
    <row r="78" spans="1:10" x14ac:dyDescent="0.2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  <c r="I79" s="35"/>
      <c r="J79" s="36"/>
    </row>
    <row r="80" spans="1:10" x14ac:dyDescent="0.2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  <c r="I81" s="35"/>
      <c r="J81" s="36"/>
    </row>
    <row r="82" spans="1:10" x14ac:dyDescent="0.2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  <c r="I83" s="35"/>
      <c r="J83" s="36"/>
    </row>
    <row r="84" spans="1:10" x14ac:dyDescent="0.2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  <c r="I85" s="35"/>
      <c r="J85" s="36"/>
    </row>
    <row r="86" spans="1:10" x14ac:dyDescent="0.2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  <c r="I87" s="35"/>
      <c r="J87" s="36"/>
    </row>
    <row r="88" spans="1:10" x14ac:dyDescent="0.2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  <c r="I90" s="35"/>
      <c r="J90" s="36"/>
    </row>
    <row r="91" spans="1:10" x14ac:dyDescent="0.2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  <c r="I92" s="35"/>
      <c r="J92" s="36"/>
    </row>
    <row r="93" spans="1:10" x14ac:dyDescent="0.2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  <c r="I94" s="35"/>
      <c r="J94" s="36"/>
    </row>
    <row r="95" spans="1:10" x14ac:dyDescent="0.2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  <c r="I96" s="35"/>
      <c r="J96" s="36"/>
    </row>
    <row r="97" spans="1:10" x14ac:dyDescent="0.2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/>
      <c r="F98" s="36"/>
      <c r="G98" s="35"/>
      <c r="H98" s="36"/>
      <c r="I98" s="35"/>
      <c r="J98" s="36"/>
    </row>
    <row r="99" spans="1:10" x14ac:dyDescent="0.2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/>
      <c r="F100" s="36"/>
      <c r="G100" s="35"/>
      <c r="H100" s="36"/>
      <c r="I100" s="35"/>
      <c r="J100" s="36"/>
    </row>
    <row r="101" spans="1:10" x14ac:dyDescent="0.2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  <c r="I102" s="35"/>
      <c r="J102" s="36"/>
    </row>
    <row r="103" spans="1:10" x14ac:dyDescent="0.2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  <c r="I104" s="35"/>
      <c r="J104" s="36"/>
    </row>
    <row r="105" spans="1:10" x14ac:dyDescent="0.2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  <c r="I106" s="35"/>
      <c r="J106" s="36"/>
    </row>
    <row r="107" spans="1:10" x14ac:dyDescent="0.2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  <c r="I108" s="35"/>
      <c r="J108" s="36"/>
    </row>
    <row r="109" spans="1:10" x14ac:dyDescent="0.2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  <c r="I110" s="35"/>
      <c r="J110" s="36"/>
    </row>
    <row r="111" spans="1:10" x14ac:dyDescent="0.2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  <c r="I112" s="35"/>
      <c r="J112" s="36"/>
    </row>
    <row r="113" spans="1:10" x14ac:dyDescent="0.2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  <c r="I114" s="35"/>
      <c r="J114" s="36"/>
    </row>
    <row r="115" spans="1:10" x14ac:dyDescent="0.2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2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topLeftCell="A87" zoomScale="70" zoomScaleNormal="70" workbookViewId="0">
      <selection activeCell="I115" sqref="I115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12" width="10.140625" customWidth="1"/>
    <col min="13" max="14" width="3.42578125" customWidth="1"/>
    <col min="15" max="15" width="6.7109375" bestFit="1" customWidth="1"/>
    <col min="16" max="16" width="16.28515625" bestFit="1" customWidth="1"/>
    <col min="17" max="21" width="11.28515625" bestFit="1" customWidth="1"/>
    <col min="24" max="24" width="11.28515625" customWidth="1"/>
  </cols>
  <sheetData>
    <row r="1" spans="1:24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24" x14ac:dyDescent="0.25">
      <c r="O2" s="28" t="s">
        <v>81</v>
      </c>
      <c r="P2" s="29"/>
      <c r="Q2" s="29"/>
      <c r="R2" s="29"/>
      <c r="S2" s="29"/>
      <c r="T2" s="29"/>
      <c r="U2" s="29"/>
      <c r="V2" s="30"/>
      <c r="W2" s="18"/>
      <c r="X2" s="18"/>
    </row>
    <row r="3" spans="1:24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40" t="s">
        <v>82</v>
      </c>
      <c r="L3" s="40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25">
      <c r="A4" s="32"/>
      <c r="B4" s="32"/>
      <c r="C4" s="32"/>
      <c r="D4" s="32"/>
      <c r="E4" s="38" t="s">
        <v>100</v>
      </c>
      <c r="F4" s="39"/>
      <c r="G4" s="38" t="s">
        <v>101</v>
      </c>
      <c r="H4" s="39"/>
      <c r="I4" s="38" t="s">
        <v>102</v>
      </c>
      <c r="J4" s="39"/>
      <c r="K4" s="38" t="s">
        <v>103</v>
      </c>
      <c r="L4" s="39"/>
      <c r="O4" s="17" t="str">
        <f>E3</f>
        <v>Lane 1</v>
      </c>
      <c r="P4" s="17" t="str">
        <f>E4</f>
        <v>Monnow</v>
      </c>
      <c r="Q4" s="20">
        <f>COUNTIF($F7:$F115,1)</f>
        <v>23</v>
      </c>
      <c r="R4" s="20">
        <f>COUNTIF($F7:$F115,2)</f>
        <v>13</v>
      </c>
      <c r="S4" s="20">
        <f>COUNTIF($F7:$F115,3)</f>
        <v>4</v>
      </c>
      <c r="T4" s="20">
        <f>COUNTIF($F7:$F115,4)</f>
        <v>7</v>
      </c>
      <c r="U4" s="20">
        <f>COUNTIF($F7:$F115,"DQ")</f>
        <v>3</v>
      </c>
      <c r="V4" s="20">
        <f>COUNTIF($F7:$F115,"Too Fast")</f>
        <v>3</v>
      </c>
      <c r="W4" s="2">
        <f>E116</f>
        <v>146</v>
      </c>
      <c r="X4" s="18"/>
    </row>
    <row r="5" spans="1:24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40" t="s">
        <v>14</v>
      </c>
      <c r="L5" s="40"/>
      <c r="O5" s="17" t="str">
        <f>G3</f>
        <v>Lane 2</v>
      </c>
      <c r="P5" s="17" t="str">
        <f>G4</f>
        <v>Newport</v>
      </c>
      <c r="Q5" s="20">
        <f>COUNTIF($H7:$H115,1)</f>
        <v>4</v>
      </c>
      <c r="R5" s="20">
        <f>COUNTIF($H7:$H115,2)</f>
        <v>14</v>
      </c>
      <c r="S5" s="20">
        <f>COUNTIF($H7:$H115,3)</f>
        <v>15</v>
      </c>
      <c r="T5" s="20">
        <f>COUNTIF($H7:$H115,4)</f>
        <v>14</v>
      </c>
      <c r="U5" s="20">
        <f>COUNTIF($H7:$H115,"DQ")</f>
        <v>4</v>
      </c>
      <c r="V5" s="20">
        <f>COUNTIF($H7:$H115,"Too Fast")</f>
        <v>2</v>
      </c>
      <c r="W5" s="2">
        <f>G116</f>
        <v>102</v>
      </c>
      <c r="X5" s="18"/>
    </row>
    <row r="6" spans="1:24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>
        <v>9.3101851851851852E-4</v>
      </c>
      <c r="F6" s="37"/>
      <c r="G6" s="37">
        <v>9.3252314814814804E-4</v>
      </c>
      <c r="H6" s="37"/>
      <c r="I6" s="37">
        <v>8.9791666666666665E-4</v>
      </c>
      <c r="J6" s="37"/>
      <c r="K6" s="37">
        <v>9.0694444444444449E-4</v>
      </c>
      <c r="L6" s="37"/>
      <c r="O6" s="17" t="str">
        <f>I3</f>
        <v>Lane 3</v>
      </c>
      <c r="P6" s="17" t="str">
        <f>I4</f>
        <v>Dursley</v>
      </c>
      <c r="Q6" s="20">
        <f>COUNTIF($J7:$J115,1)</f>
        <v>8</v>
      </c>
      <c r="R6" s="20">
        <f>COUNTIF($J7:$J115,2)</f>
        <v>8</v>
      </c>
      <c r="S6" s="20">
        <f>COUNTIF($J7:$J115,3)</f>
        <v>23</v>
      </c>
      <c r="T6" s="20">
        <f>COUNTIF($J7:$J115,4)</f>
        <v>11</v>
      </c>
      <c r="U6" s="20">
        <f>COUNTIF($J7:$J115,"DQ")</f>
        <v>2</v>
      </c>
      <c r="V6" s="20">
        <f>COUNTIF($J7:$J115,"Too Fast")</f>
        <v>1</v>
      </c>
      <c r="W6" s="2">
        <f>I116</f>
        <v>113</v>
      </c>
      <c r="X6" s="18"/>
    </row>
    <row r="7" spans="1:24" x14ac:dyDescent="0.2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2</v>
      </c>
      <c r="H7" s="14" cm="1">
        <f t="array" ref="H7">_xlfn.IFS(G7=4,1,G7=3,2,G7=2,3,G7=1,4,G6&lt;$D$6,"Too Fast",G6="DQ","DQ")</f>
        <v>3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4</v>
      </c>
      <c r="L7" s="14" cm="1">
        <f t="array" ref="L7">_xlfn.IFS(K7=4,1,K7=3,2,K7=2,3,K7=1,4,K6&lt;$D$6,"Too Fast",K6="DQ","DQ")</f>
        <v>1</v>
      </c>
      <c r="O7" s="17" t="str">
        <f>K3</f>
        <v>Lane 4</v>
      </c>
      <c r="P7" s="17" t="str">
        <f>K4</f>
        <v>Cwmbran</v>
      </c>
      <c r="Q7" s="20">
        <f>COUNTIF($L7:$L115,1)</f>
        <v>18</v>
      </c>
      <c r="R7" s="20">
        <f>COUNTIF($L7:$L115,2)</f>
        <v>17</v>
      </c>
      <c r="S7" s="20">
        <f>COUNTIF($L7:$L115,3)</f>
        <v>8</v>
      </c>
      <c r="T7" s="20">
        <f>COUNTIF($L7:$L115,4)</f>
        <v>5</v>
      </c>
      <c r="U7" s="20">
        <f>COUNTIF($L7:$L115,"DQ")</f>
        <v>1</v>
      </c>
      <c r="V7" s="20">
        <f>COUNTIF($L7:$L115,"Too Fast")</f>
        <v>4</v>
      </c>
      <c r="W7" s="2">
        <f>K116</f>
        <v>144</v>
      </c>
      <c r="X7" s="18"/>
    </row>
    <row r="8" spans="1:24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7">
        <v>8.3981481481481483E-4</v>
      </c>
      <c r="F8" s="37"/>
      <c r="G8" s="37">
        <v>8.6724537037037044E-4</v>
      </c>
      <c r="H8" s="37"/>
      <c r="I8" s="37">
        <v>9.2812500000000002E-4</v>
      </c>
      <c r="J8" s="37"/>
      <c r="K8" s="37">
        <v>9.0381944444444451E-4</v>
      </c>
      <c r="L8" s="37"/>
    </row>
    <row r="9" spans="1:24" x14ac:dyDescent="0.2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1</v>
      </c>
      <c r="J9" s="14" cm="1">
        <f t="array" ref="J9">_xlfn.IFS(I9=4,1,I9=3,2,I9=2,3,I9=1,4,I8&lt;$D$8,"Too Fast",I8="DQ","DQ")</f>
        <v>4</v>
      </c>
      <c r="K9" s="11">
        <f t="shared" ref="K9" si="5">IF(K8="DQ",0,IF(K8&lt;$D$8,0,1+COUNTIFS($E$8:$K$8,"DQ")+COUNTIFS($E$8:$K$8,"&lt;"&amp;$D$8)+COUNTIF($E$8:$K$8,"&gt;"&amp;K$8)))</f>
        <v>2</v>
      </c>
      <c r="L9" s="14" cm="1">
        <f t="array" ref="L9">_xlfn.IFS(K9=4,1,K9=3,2,K9=2,3,K9=1,4,K8&lt;$D$8,"Too Fast",K8="DQ","DQ")</f>
        <v>3</v>
      </c>
    </row>
    <row r="10" spans="1:24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7">
        <v>8.348379629629629E-4</v>
      </c>
      <c r="F10" s="37"/>
      <c r="G10" s="37">
        <v>9.2291666666666661E-4</v>
      </c>
      <c r="H10" s="37"/>
      <c r="I10" s="37">
        <v>9.1550925925925914E-4</v>
      </c>
      <c r="J10" s="37"/>
      <c r="K10" s="37">
        <v>8.7858796296296296E-4</v>
      </c>
      <c r="L10" s="37"/>
    </row>
    <row r="11" spans="1:24" x14ac:dyDescent="0.2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4</v>
      </c>
      <c r="L11" s="14" cm="1">
        <f t="array" ref="L11">_xlfn.IFS(K11=4,1,K11=3,2,K11=2,3,K11=1,4,K10&lt;$D$10,"Too Fast",K10="DQ","DQ")</f>
        <v>1</v>
      </c>
    </row>
    <row r="12" spans="1:24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7">
        <v>7.7071759259259259E-4</v>
      </c>
      <c r="F12" s="37"/>
      <c r="G12" s="37">
        <v>8.1238425925925922E-4</v>
      </c>
      <c r="H12" s="37"/>
      <c r="I12" s="37">
        <v>8.1192129629629637E-4</v>
      </c>
      <c r="J12" s="37"/>
      <c r="K12" s="37">
        <v>7.7534722222222219E-4</v>
      </c>
      <c r="L12" s="37"/>
    </row>
    <row r="13" spans="1:24" x14ac:dyDescent="0.2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4</v>
      </c>
      <c r="F13" s="14" cm="1">
        <f t="array" ref="F13">_xlfn.IFS(E13=4,1,E13=3,2,E13=2,3,E13=1,4,E12&lt;$D$12,"Too Fast",E12="DQ","DQ")</f>
        <v>1</v>
      </c>
      <c r="G13" s="9">
        <f t="shared" ref="G13" si="6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>IF(K12="DQ",0,IF(K12&lt;$D$12,0,1+COUNTIFS($E$12:$K$12,"DQ")+COUNTIFS($E$12:$K$12,"&lt;"&amp;$D$12)+COUNTIF($E$12:$K$12,"&gt;"&amp;K$12)))</f>
        <v>3</v>
      </c>
      <c r="L13" s="14" cm="1">
        <f t="array" ref="L13">_xlfn.IFS(K13=4,1,K13=3,2,K13=2,3,K13=1,4,K12&lt;$D$12,"Too Fast",K12="DQ","DQ")</f>
        <v>2</v>
      </c>
    </row>
    <row r="14" spans="1:24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7">
        <v>2.0914351851851853E-4</v>
      </c>
      <c r="F14" s="37"/>
      <c r="G14" s="37">
        <v>2.15625E-4</v>
      </c>
      <c r="H14" s="37"/>
      <c r="I14" s="37">
        <v>1.9050925925925927E-4</v>
      </c>
      <c r="J14" s="37"/>
      <c r="K14" s="37">
        <v>1.6840277777777779E-4</v>
      </c>
      <c r="L14" s="37"/>
    </row>
    <row r="15" spans="1:24" x14ac:dyDescent="0.2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3</v>
      </c>
      <c r="F15" s="14" cm="1">
        <f t="array" ref="F15">_xlfn.IFS(E15=4,1,E15=3,2,E15=2,3,E15=1,4,E14&lt;$D$14,"Too Fast",E14="DQ","DQ")</f>
        <v>2</v>
      </c>
      <c r="G15" s="9">
        <f t="shared" ref="G15" si="8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9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0">IF(K14="DQ",0,IF(K14&lt;$D$14,0,1+COUNTIFS($E$14:$K$14,"DQ")+COUNTIFS($E$14:$K$14,"&lt;"&amp;$D$14)+COUNTIF($E$14:$K$14,"&gt;"&amp;K$14)))</f>
        <v>0</v>
      </c>
      <c r="L15" s="14" t="str" cm="1">
        <f t="array" ref="L15">_xlfn.IFS(K15=4,1,K15=3,2,K15=2,3,K15=1,4,K14&lt;$D$14,"Too Fast",K14="DQ","DQ")</f>
        <v>Too Fast</v>
      </c>
    </row>
    <row r="16" spans="1:24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7">
        <v>2.0729166666666666E-4</v>
      </c>
      <c r="F16" s="37"/>
      <c r="G16" s="37">
        <v>2.0717592592592592E-4</v>
      </c>
      <c r="H16" s="37"/>
      <c r="I16" s="37">
        <v>1.7986111111111111E-4</v>
      </c>
      <c r="J16" s="37"/>
      <c r="K16" s="37">
        <v>2.0601851851851852E-4</v>
      </c>
      <c r="L16" s="37"/>
    </row>
    <row r="17" spans="1:12" x14ac:dyDescent="0.2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1</v>
      </c>
      <c r="F17" s="14" cm="1">
        <f t="array" ref="F17">_xlfn.IFS(E17=4,1,E17=3,2,E17=2,3,E17=1,4,E16&lt;$D$16,"Too Fast",E16="DQ","DQ")</f>
        <v>4</v>
      </c>
      <c r="G17" s="9">
        <f t="shared" ref="G17" si="11">IF(G16="DQ",0,IF(G16&lt;$D$16,0,1+COUNTIFS($E$16:$K$16,"DQ")+COUNTIFS($E$16:$K$16,"&lt;"&amp;$D$16)+COUNTIF($E$16:$K$16,"&gt;"&amp;G$16)))</f>
        <v>2</v>
      </c>
      <c r="H17" s="14" cm="1">
        <f t="array" ref="H17">_xlfn.IFS(G17=4,1,G17=3,2,G17=2,3,G17=1,4,G16&lt;$D$16,"Too Fast",G16="DQ","DQ")</f>
        <v>3</v>
      </c>
      <c r="I17" s="9">
        <f t="shared" ref="I17" si="12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3">IF(K16="DQ",0,IF(K16&lt;$D$16,0,1+COUNTIFS($E$16:$K$16,"DQ")+COUNTIFS($E$16:$K$16,"&lt;"&amp;$D$16)+COUNTIF($E$16:$K$16,"&gt;"&amp;K$16)))</f>
        <v>3</v>
      </c>
      <c r="L17" s="14" cm="1">
        <f t="array" ref="L17">_xlfn.IFS(K17=4,1,K17=3,2,K17=2,3,K17=1,4,K16&lt;$D$16,"Too Fast",K16="DQ","DQ")</f>
        <v>2</v>
      </c>
    </row>
    <row r="18" spans="1:12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7">
        <v>5.0416666666666665E-4</v>
      </c>
      <c r="F18" s="37"/>
      <c r="G18" s="37">
        <v>4.615740740740741E-4</v>
      </c>
      <c r="H18" s="37"/>
      <c r="I18" s="37" t="s">
        <v>104</v>
      </c>
      <c r="J18" s="37"/>
      <c r="K18" s="37">
        <v>4.8009259259259256E-4</v>
      </c>
      <c r="L18" s="37"/>
    </row>
    <row r="19" spans="1:12" x14ac:dyDescent="0.2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4</v>
      </c>
      <c r="F19" s="14" cm="1">
        <f t="array" ref="F19">_xlfn.IFS(E19=4,1,E19=3,2,E19=2,3,E19=1,4,E18&lt;$D$18,"Too Fast",E18="DQ","DQ")</f>
        <v>1</v>
      </c>
      <c r="G19" s="9">
        <f t="shared" ref="G19" si="14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Too Fast</v>
      </c>
      <c r="I19" s="9">
        <f t="shared" ref="I19" si="15">IF(I18="DQ",0,IF(I18&lt;$D$18,0,1+COUNTIFS($E$18:$K$18,"DQ")+COUNTIFS($E$18:$K$18,"&lt;"&amp;$D$18)+COUNTIF($E$18:$K$18,"&gt;"&amp;I$18)))</f>
        <v>0</v>
      </c>
      <c r="J19" s="14" t="str" cm="1">
        <f t="array" ref="J19">_xlfn.IFS(I19=4,1,I19=3,2,I19=2,3,I19=1,4,I18&lt;$D$18,"Too Fast",I18="DQ","DQ")</f>
        <v>DQ</v>
      </c>
      <c r="K19" s="9">
        <f t="shared" ref="K19" si="16">IF(K18="DQ",0,IF(K18&lt;$D$18,0,1+COUNTIFS($E$18:$K$18,"DQ")+COUNTIFS($E$18:$K$18,"&lt;"&amp;$D$18)+COUNTIF($E$18:$K$18,"&gt;"&amp;K$18)))</f>
        <v>0</v>
      </c>
      <c r="L19" s="14" t="str" cm="1">
        <f t="array" ref="L19">_xlfn.IFS(K19=4,1,K19=3,2,K19=2,3,K19=1,4,K18&lt;$D$18,"Too Fast",K18="DQ","DQ")</f>
        <v>Too Fast</v>
      </c>
    </row>
    <row r="20" spans="1:12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7">
        <v>4.8391203703703704E-4</v>
      </c>
      <c r="F20" s="37"/>
      <c r="G20" s="37">
        <v>4.8553240740740745E-4</v>
      </c>
      <c r="H20" s="37"/>
      <c r="I20" s="37">
        <v>5.1307870370370363E-4</v>
      </c>
      <c r="J20" s="37"/>
      <c r="K20" s="37">
        <v>5.1898148148148149E-4</v>
      </c>
      <c r="L20" s="37"/>
    </row>
    <row r="21" spans="1:12" x14ac:dyDescent="0.2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7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8">IF(I20="DQ",0,IF(I20&lt;$D$20,0,1+COUNTIFS($E$20:$K$20,"DQ")+COUNTIFS($E$20:$K$20,"&lt;"&amp;$D$20)+COUNTIF($E$20:$K$20,"&gt;"&amp;I$20)))</f>
        <v>2</v>
      </c>
      <c r="J21" s="14" cm="1">
        <f t="array" ref="J21">_xlfn.IFS(I21=4,1,I21=3,2,I21=2,3,I21=1,4,I20&lt;$D$20,"Too Fast",I20="DQ","DQ")</f>
        <v>3</v>
      </c>
      <c r="K21" s="9">
        <f t="shared" ref="K21" si="19">IF(K20="DQ",0,IF(K20&lt;$D$20,0,1+COUNTIFS($E$20:$K$20,"DQ")+COUNTIFS($E$20:$K$20,"&lt;"&amp;$D$20)+COUNTIF($E$20:$K$20,"&gt;"&amp;K$20)))</f>
        <v>1</v>
      </c>
      <c r="L21" s="14" cm="1">
        <f t="array" ref="L21">_xlfn.IFS(K21=4,1,K21=3,2,K21=2,3,K21=1,4,K20&lt;$D$20,"Too Fast",K20="DQ","DQ")</f>
        <v>4</v>
      </c>
    </row>
    <row r="22" spans="1:12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7">
        <v>3.9826388888888886E-4</v>
      </c>
      <c r="F22" s="37"/>
      <c r="G22" s="37">
        <v>4.5138888888888887E-4</v>
      </c>
      <c r="H22" s="37"/>
      <c r="I22" s="37">
        <v>3.9849537037037034E-4</v>
      </c>
      <c r="J22" s="37"/>
      <c r="K22" s="37">
        <v>4.2905092592592593E-4</v>
      </c>
      <c r="L22" s="37"/>
    </row>
    <row r="23" spans="1:12" x14ac:dyDescent="0.2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4</v>
      </c>
      <c r="F23" s="14" cm="1">
        <f t="array" ref="F23">_xlfn.IFS(E23=4,1,E23=3,2,E23=2,3,E23=1,4,E22&lt;$D$22,"Too Fast",E22="DQ","DQ")</f>
        <v>1</v>
      </c>
      <c r="G23" s="9">
        <f t="shared" ref="G23" si="20">IF(G22="DQ",0,IF(G22&lt;$D$22,0,1+COUNTIFS($E$22:$K$22,"DQ")+COUNTIFS($E$22:$K$22,"&lt;"&amp;$D$22)+COUNTIF($E$22:$K$22,"&gt;"&amp;G$22)))</f>
        <v>1</v>
      </c>
      <c r="H23" s="14" cm="1">
        <f t="array" ref="H23">_xlfn.IFS(G23=4,1,G23=3,2,G23=2,3,G23=1,4,G22&lt;$D$22,"Too Fast",G22="DQ","DQ")</f>
        <v>4</v>
      </c>
      <c r="I23" s="9">
        <f t="shared" ref="I23" si="21">IF(I22="DQ",0,IF(I22&lt;$D$22,0,1+COUNTIFS($E$22:$K$22,"DQ")+COUNTIFS($E$22:$K$22,"&lt;"&amp;$D$22)+COUNTIF($E$22:$K$22,"&gt;"&amp;I$22)))</f>
        <v>3</v>
      </c>
      <c r="J23" s="14" cm="1">
        <f t="array" ref="J23">_xlfn.IFS(I23=4,1,I23=3,2,I23=2,3,I23=1,4,I22&lt;$D$22,"Too Fast",I22="DQ","DQ")</f>
        <v>2</v>
      </c>
      <c r="K23" s="9">
        <f t="shared" ref="K23" si="22">IF(K22="DQ",0,IF(K22&lt;$D$22,0,1+COUNTIFS($E$22:$K$22,"DQ")+COUNTIFS($E$22:$K$22,"&lt;"&amp;$D$22)+COUNTIF($E$22:$K$22,"&gt;"&amp;K$22)))</f>
        <v>2</v>
      </c>
      <c r="L23" s="14" cm="1">
        <f t="array" ref="L23">_xlfn.IFS(K23=4,1,K23=3,2,K23=2,3,K23=1,4,K22&lt;$D$22,"Too Fast",K22="DQ","DQ")</f>
        <v>3</v>
      </c>
    </row>
    <row r="24" spans="1:12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7">
        <v>4.2824074074074075E-4</v>
      </c>
      <c r="F24" s="37"/>
      <c r="G24" s="37" t="s">
        <v>104</v>
      </c>
      <c r="H24" s="37"/>
      <c r="I24" s="37">
        <v>4.3796296296296302E-4</v>
      </c>
      <c r="J24" s="37"/>
      <c r="K24" s="37">
        <v>4.1493055555555559E-4</v>
      </c>
      <c r="L24" s="37"/>
    </row>
    <row r="25" spans="1:12" x14ac:dyDescent="0.2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23">IF(G24="DQ",0,IF(G24&lt;$D$24,0,1+COUNTIFS($E$24:$K$24,"DQ")+COUNTIFS($E$24:$K$24,"&lt;"&amp;$D$24)+COUNTIF($E$24:$K$24,"&gt;"&amp;G$24)))</f>
        <v>0</v>
      </c>
      <c r="H25" s="14" t="str" cm="1">
        <f t="array" ref="H25">_xlfn.IFS(G25=4,1,G25=3,2,G25=2,3,G25=1,4,G24&lt;$D$24,"Too Fast",G24="DQ","DQ")</f>
        <v>DQ</v>
      </c>
      <c r="I25" s="9">
        <f t="shared" ref="I25" si="24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5">IF(K24="DQ",0,IF(K24&lt;$D$24,0,1+COUNTIFS($E$24:$K$24,"DQ")+COUNTIFS($E$24:$K$24,"&lt;"&amp;$D$24)+COUNTIF($E$24:$K$24,"&gt;"&amp;K$24)))</f>
        <v>4</v>
      </c>
      <c r="L25" s="14" cm="1">
        <f t="array" ref="L25">_xlfn.IFS(K25=4,1,K25=3,2,K25=2,3,K25=1,4,K24&lt;$D$24,"Too Fast",K24="DQ","DQ")</f>
        <v>1</v>
      </c>
    </row>
    <row r="26" spans="1:12" x14ac:dyDescent="0.25">
      <c r="A26" s="2"/>
      <c r="B26" s="12" t="s">
        <v>29</v>
      </c>
      <c r="C26" s="3"/>
      <c r="D26" s="16"/>
      <c r="E26" s="13">
        <f>E7+E9+E11+E13+E15+E17+E19+E21+E23+E25</f>
        <v>30</v>
      </c>
      <c r="F26" s="13"/>
      <c r="G26" s="13">
        <f t="shared" ref="G26:K26" si="26">G7+G9+G11+G13+G15+G17+G19+G21+G23+G25</f>
        <v>16</v>
      </c>
      <c r="H26" s="13"/>
      <c r="I26" s="13">
        <f t="shared" si="26"/>
        <v>21</v>
      </c>
      <c r="J26" s="13"/>
      <c r="K26" s="13">
        <f t="shared" si="26"/>
        <v>23</v>
      </c>
      <c r="L26" s="18"/>
    </row>
    <row r="27" spans="1:12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>
        <v>8.5254629629629623E-4</v>
      </c>
      <c r="F27" s="37"/>
      <c r="G27" s="37">
        <v>1.1002314814814815E-3</v>
      </c>
      <c r="H27" s="37"/>
      <c r="I27" s="37">
        <v>8.9606481481481481E-4</v>
      </c>
      <c r="J27" s="37"/>
      <c r="K27" s="37">
        <v>8.1053240740740738E-4</v>
      </c>
      <c r="L27" s="37"/>
    </row>
    <row r="28" spans="1:12" x14ac:dyDescent="0.2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4</v>
      </c>
      <c r="F28" s="14" cm="1">
        <f t="array" ref="F28">_xlfn.IFS(E28=4,1,E28=3,2,E28=2,3,E28=1,4,E27&lt;$D$27,"Too Fast",E27="DQ","DQ")</f>
        <v>1</v>
      </c>
      <c r="G28" s="9">
        <f t="shared" ref="G28" si="27">IF(G27="DQ",0,IF(G27&lt;$D$27,0,1+COUNTIFS($E$27:$K$27,"DQ")+COUNTIFS($E$27:$K$27,"&lt;"&amp;$D$27)+COUNTIF($E$27:$K$27,"&gt;"&amp;G$27)))</f>
        <v>2</v>
      </c>
      <c r="H28" s="14" cm="1">
        <f t="array" ref="H28">_xlfn.IFS(G28=4,1,G28=3,2,G28=2,3,G28=1,4,G27&lt;$D$27,"Too Fast",G27="DQ","DQ")</f>
        <v>3</v>
      </c>
      <c r="I28" s="9">
        <f t="shared" ref="I28" si="28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29">IF(K27="DQ",0,IF(K27&lt;$D$27,0,1+COUNTIFS($E$27:$K$27,"DQ")+COUNTIFS($E$27:$K$27,"&lt;"&amp;$D$27)+COUNTIF($E$27:$K$27,"&gt;"&amp;K$27)))</f>
        <v>0</v>
      </c>
      <c r="L28" s="14" t="str" cm="1">
        <f t="array" ref="L28">_xlfn.IFS(K28=4,1,K28=3,2,K28=2,3,K28=1,4,K27&lt;$D$27,"Too Fast",K27="DQ","DQ")</f>
        <v>Too Fast</v>
      </c>
    </row>
    <row r="29" spans="1:12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>
        <v>8.3842592592592595E-4</v>
      </c>
      <c r="F29" s="37"/>
      <c r="G29" s="37" t="s">
        <v>104</v>
      </c>
      <c r="H29" s="37"/>
      <c r="I29" s="37">
        <v>7.6608796296296299E-4</v>
      </c>
      <c r="J29" s="37"/>
      <c r="K29" s="37">
        <v>7.2847222222222215E-4</v>
      </c>
      <c r="L29" s="37"/>
    </row>
    <row r="30" spans="1:12" x14ac:dyDescent="0.2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2</v>
      </c>
      <c r="F30" s="14" cm="1">
        <f t="array" ref="F30">_xlfn.IFS(E30=4,1,E30=3,2,E30=2,3,E30=1,4,E29&lt;$D$29,"Too Fast",E29="DQ","DQ")</f>
        <v>3</v>
      </c>
      <c r="G30" s="9">
        <f>IF(G29="DQ",0,IF(G29&lt;$D$29,0,1+COUNTIFS($E$29:$K$29,"DQ")+COUNTIFS($E$29:$K$29,"&lt;"&amp;$D$29)+COUNTIF($E$29:$K$29,"&gt;"&amp;G$29)))</f>
        <v>0</v>
      </c>
      <c r="H30" s="14" t="str" cm="1">
        <f t="array" ref="H30">_xlfn.IFS(G30=4,1,G30=3,2,G30=2,3,G30=1,4,G29&lt;$D$29,"Too Fast",G29="DQ","DQ")</f>
        <v>DQ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>
        <v>9.9652777777777782E-4</v>
      </c>
      <c r="F31" s="37"/>
      <c r="G31" s="35">
        <v>9.5694444444444451E-4</v>
      </c>
      <c r="H31" s="36"/>
      <c r="I31" s="35">
        <v>9.3634259259259267E-4</v>
      </c>
      <c r="J31" s="36"/>
      <c r="K31" s="35">
        <v>9.4861111111111123E-4</v>
      </c>
      <c r="L31" s="36"/>
    </row>
    <row r="32" spans="1:12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2</v>
      </c>
      <c r="H32" s="14" cm="1">
        <f t="array" ref="H32">_xlfn.IFS(G32=4,1,G32=3,2,G32=2,3,G32=1,4,G31&lt;$D$31,"Too Fast",G31="DQ","DQ")</f>
        <v>3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3</v>
      </c>
      <c r="L32" s="14" cm="1">
        <f t="array" ref="L32">_xlfn.IFS(K32=4,1,K32=3,2,K32=2,3,K32=1,4,K31&lt;$D$31,"Too Fast",K31="DQ","DQ")</f>
        <v>2</v>
      </c>
    </row>
    <row r="33" spans="1:21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 t="s">
        <v>104</v>
      </c>
      <c r="F33" s="37"/>
      <c r="G33" s="37">
        <v>9.6238425925925929E-4</v>
      </c>
      <c r="H33" s="37"/>
      <c r="I33" s="37">
        <v>1.0015046296296297E-3</v>
      </c>
      <c r="J33" s="37"/>
      <c r="K33" s="37">
        <v>1.0738425925925926E-3</v>
      </c>
      <c r="L33" s="37"/>
    </row>
    <row r="34" spans="1:21" x14ac:dyDescent="0.2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DQ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3</v>
      </c>
      <c r="J34" s="14" cm="1">
        <f t="array" ref="J34">_xlfn.IFS(I34=4,1,I34=3,2,I34=2,3,I34=1,4,I33&lt;$D$33,"Too Fast",I33="DQ","DQ")</f>
        <v>2</v>
      </c>
      <c r="K34" s="9">
        <f>IF(K33="DQ",0,IF(K33&lt;D33,0,1+COUNTIFS($E$33:$K$33,"DQ")+COUNTIFS($E$33:$K$33,"&lt;"&amp;D33)+COUNTIF($E$33:$K$33,"&gt;"&amp;K$33)))</f>
        <v>2</v>
      </c>
      <c r="L34" s="14" cm="1">
        <f t="array" ref="L34">_xlfn.IFS(K34=4,1,K34=3,2,K34=2,3,K34=1,4,K33&lt;$D$33,"Too Fast",K33="DQ","DQ")</f>
        <v>3</v>
      </c>
    </row>
    <row r="35" spans="1:21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>
        <v>7.3275462962962964E-4</v>
      </c>
      <c r="F35" s="37"/>
      <c r="G35" s="37">
        <v>7.2418981481481477E-4</v>
      </c>
      <c r="H35" s="37"/>
      <c r="I35" s="37">
        <v>7.4155092592592588E-4</v>
      </c>
      <c r="J35" s="37"/>
      <c r="K35" s="37">
        <v>7.1076388888888882E-4</v>
      </c>
      <c r="L35" s="37"/>
    </row>
    <row r="36" spans="1:21" x14ac:dyDescent="0.2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1</v>
      </c>
      <c r="J36" s="14" cm="1">
        <f t="array" ref="J36">_xlfn.IFS(I36=4,1,I36=3,2,I36=2,3,I36=1,4,I35&lt;$D$35,"Too Fast",I35="DQ","DQ")</f>
        <v>4</v>
      </c>
      <c r="K36" s="9">
        <f>IF(K35="DQ",0,IF(K35&lt;$D$35,0,1+COUNTIFS($E$35:$K$35,"DQ")+COUNTIFS($E$35:$K$35,"&lt;"&amp;$D$35)+COUNTIF($E$35:$K$35,"&gt;"&amp;K35)))</f>
        <v>4</v>
      </c>
      <c r="L36" s="14" cm="1">
        <f t="array" ref="L36">_xlfn.IFS(K36=4,1,K36=3,2,K36=2,3,K36=1,4,K35&lt;$D$35,"Too Fast",K35="DQ","DQ")</f>
        <v>1</v>
      </c>
    </row>
    <row r="37" spans="1:21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>
        <v>7.1504629629629631E-4</v>
      </c>
      <c r="F37" s="37"/>
      <c r="G37" s="37">
        <v>7.2164351851851849E-4</v>
      </c>
      <c r="H37" s="37"/>
      <c r="I37" s="37">
        <v>7.5347222222222211E-4</v>
      </c>
      <c r="J37" s="37"/>
      <c r="K37" s="37">
        <v>7.2152777777777786E-4</v>
      </c>
      <c r="L37" s="37"/>
    </row>
    <row r="38" spans="1:21" x14ac:dyDescent="0.2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4</v>
      </c>
      <c r="F38" s="14" cm="1">
        <f t="array" ref="F38">_xlfn.IFS(E38=4,1,E38=3,2,E38=2,3,E38=1,4,E37&lt;$D$37,"Too Fast",E37="DQ","DQ")</f>
        <v>1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1</v>
      </c>
      <c r="J38" s="14" cm="1">
        <f t="array" ref="J38">_xlfn.IFS(I38=4,1,I38=3,2,I38=2,3,I38=1,4,I37&lt;$D$37,"Too Fast",I37="DQ","DQ")</f>
        <v>4</v>
      </c>
      <c r="K38" s="9">
        <f>IF(K37="DQ",0,IF(K37&lt;$D$37,0,1+COUNTIFS($E$37:$K$37,"DQ")+COUNTIFS($E$37:$K$37,"&lt;"&amp;$D$37)+COUNTIF($E$37:$K$37,"&gt;"&amp;K37)))</f>
        <v>3</v>
      </c>
      <c r="L38" s="14" cm="1">
        <f t="array" ref="L38">_xlfn.IFS(K38=4,1,K38=3,2,K38=2,3,K38=1,4,K37&lt;$D$37,"Too Fast",K37="DQ","DQ")</f>
        <v>2</v>
      </c>
      <c r="R38" s="23"/>
    </row>
    <row r="39" spans="1:21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>
        <v>4.9664351851851844E-4</v>
      </c>
      <c r="F39" s="37"/>
      <c r="G39" s="37">
        <v>4.5520833333333329E-4</v>
      </c>
      <c r="H39" s="37"/>
      <c r="I39" s="37">
        <v>4.6261574074074071E-4</v>
      </c>
      <c r="J39" s="37"/>
      <c r="K39" s="37">
        <v>4.6111111111111114E-4</v>
      </c>
      <c r="L39" s="37"/>
      <c r="R39" s="23"/>
      <c r="S39" s="23"/>
      <c r="T39" s="23"/>
      <c r="U39" s="23"/>
    </row>
    <row r="40" spans="1:21" x14ac:dyDescent="0.2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1</v>
      </c>
      <c r="F40" s="14" cm="1">
        <f t="array" ref="F40">_xlfn.IFS(E40=4,1,E40=3,2,E40=2,3,E40=1,4,E39&lt;$D$39,"Too Fast",E39="DQ","DQ")</f>
        <v>4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>
        <v>4.5821759259259264E-4</v>
      </c>
      <c r="F41" s="37"/>
      <c r="G41" s="37">
        <v>5.4722222222222227E-4</v>
      </c>
      <c r="H41" s="37"/>
      <c r="I41" s="37">
        <v>4.8715277777777781E-4</v>
      </c>
      <c r="J41" s="37"/>
      <c r="K41" s="37">
        <v>4.7361111111111112E-4</v>
      </c>
      <c r="L41" s="37"/>
      <c r="P41" s="23"/>
      <c r="Q41" s="24"/>
    </row>
    <row r="42" spans="1:21" x14ac:dyDescent="0.2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4</v>
      </c>
      <c r="F42" s="14" cm="1">
        <f t="array" ref="F42">_xlfn.IFS(E42=4,1,E42=3,2,E42=2,3,E42=1,4,E41&lt;$D$41,"Too Fast",E41="DQ","DQ")</f>
        <v>1</v>
      </c>
      <c r="G42" s="9">
        <f>IF(G41="DQ",0,IF(G41&lt;$D$41,0,1+COUNTIFS($E$41:$K$41,"DQ")+COUNTIFS($E$41:$K$41,"&lt;"&amp;$D$41)+COUNTIF($E$41:$K$41,"&gt;"&amp;G41)))</f>
        <v>1</v>
      </c>
      <c r="H42" s="14" cm="1">
        <f t="array" ref="H42">_xlfn.IFS(G42=4,1,G42=3,2,G42=2,3,G42=1,4,G41&lt;$D$41,"Too Fast",G41="DQ","DQ")</f>
        <v>4</v>
      </c>
      <c r="I42" s="9">
        <f>IF(I41="DQ",0,IF(I41&lt;$D$41,0,1+COUNTIFS($E$41:$K$41,"DQ")+COUNTIFS($E$41:$K$41,"&lt;"&amp;$D$41)+COUNTIF($E$41:$K$41,"&gt;"&amp;I41)))</f>
        <v>2</v>
      </c>
      <c r="J42" s="14" cm="1">
        <f t="array" ref="J42">_xlfn.IFS(I42=4,1,I42=3,2,I42=2,3,I42=1,4,I41&lt;$D$41,"Too Fast",I41="DQ","DQ")</f>
        <v>3</v>
      </c>
      <c r="K42" s="9">
        <f>IF(K41="DQ",0,IF(K41&lt;$D$41,0,1+COUNTIFS($E$41:$K$41,"DQ")+COUNTIFS($E$41:$K$41,"&lt;"&amp;$D$41)+COUNTIF($E$41:$K$41,"&gt;"&amp;K41)))</f>
        <v>3</v>
      </c>
      <c r="L42" s="14" cm="1">
        <f t="array" ref="L42">_xlfn.IFS(K42=4,1,K42=3,2,K42=2,3,K42=1,4,K41&lt;$D$41,"Too Fast",K41="DQ","DQ")</f>
        <v>2</v>
      </c>
      <c r="P42" s="23"/>
      <c r="Q42" s="24"/>
    </row>
    <row r="43" spans="1:21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>
        <v>8.108796296296296E-4</v>
      </c>
      <c r="F43" s="37"/>
      <c r="G43" s="37">
        <v>9.1550925925925914E-4</v>
      </c>
      <c r="H43" s="37"/>
      <c r="I43" s="37">
        <v>9.7581018518518524E-4</v>
      </c>
      <c r="J43" s="37"/>
      <c r="K43" s="37">
        <v>8.6909722222222228E-4</v>
      </c>
      <c r="L43" s="37"/>
      <c r="P43" s="23"/>
      <c r="Q43" s="24"/>
    </row>
    <row r="44" spans="1:21" x14ac:dyDescent="0.2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4</v>
      </c>
      <c r="F44" s="14" cm="1">
        <f t="array" ref="F44">_xlfn.IFS(E44=4,1,E44=3,2,E44=2,3,E44=1,4,E43&lt;$D$43,"Too Fast",E43="DQ","DQ")</f>
        <v>1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1</v>
      </c>
      <c r="J44" s="14" cm="1">
        <f t="array" ref="J44">_xlfn.IFS(I44=4,1,I44=3,2,I44=2,3,I44=1,4,I43&lt;$D$43,"Too Fast",I43="DQ","DQ")</f>
        <v>4</v>
      </c>
      <c r="K44" s="9">
        <f>IF(K43="DQ",0,IF(K43&lt;$D$43,0,1+COUNTIFS($E$43:$K$43,"DQ")+COUNTIFS($E$43:$K$43,"&lt;"&amp;$D$43)+COUNTIF($E$43:$K$43,"&gt;"&amp;K43)))</f>
        <v>3</v>
      </c>
      <c r="L44" s="14" cm="1">
        <f t="array" ref="L44">_xlfn.IFS(K44=4,1,K44=3,2,K44=2,3,K44=1,4,K43&lt;$D$43,"Too Fast",K43="DQ","DQ")</f>
        <v>2</v>
      </c>
      <c r="Q44" s="24"/>
    </row>
    <row r="45" spans="1:21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>
        <v>7.9386574074074082E-4</v>
      </c>
      <c r="F45" s="37"/>
      <c r="G45" s="37">
        <v>8.9398148148148138E-4</v>
      </c>
      <c r="H45" s="37"/>
      <c r="I45" s="37">
        <v>8.5034722222222217E-4</v>
      </c>
      <c r="J45" s="37"/>
      <c r="K45" s="37">
        <v>7.7743055555555562E-4</v>
      </c>
      <c r="L45" s="37"/>
      <c r="Q45" s="24"/>
    </row>
    <row r="46" spans="1:21" x14ac:dyDescent="0.2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3</v>
      </c>
      <c r="F46" s="14" cm="1">
        <f t="array" ref="F46">_xlfn.IFS(E46=4,1,E46=3,2,E46=2,3,E46=1,4,E45&lt;$D$45,"Too Fast",E45="DQ","DQ")</f>
        <v>2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2</v>
      </c>
      <c r="J46" s="14" cm="1">
        <f t="array" ref="J46">_xlfn.IFS(I46=4,1,I46=3,2,I46=2,3,I46=1,4,I45&lt;$D$45,"Too Fast",I45="DQ","DQ")</f>
        <v>3</v>
      </c>
      <c r="K46" s="9">
        <f>IF(K45="DQ",0,IF(K45&lt;$D$45,0,1+COUNTIFS($E$45:$K$45,"DQ")+COUNTIFS($E$45:$K$45,"&lt;"&amp;$D$45)+COUNTIF($E$45:$K$45,"&gt;"&amp;K45)))</f>
        <v>4</v>
      </c>
      <c r="L46" s="14" cm="1">
        <f t="array" ref="L46">_xlfn.IFS(K46=4,1,K46=3,2,K46=2,3,K46=1,4,K45&lt;$D$45,"Too Fast",K45="DQ","DQ")</f>
        <v>1</v>
      </c>
      <c r="Q46" s="24"/>
    </row>
    <row r="47" spans="1:21" x14ac:dyDescent="0.25">
      <c r="A47" s="2"/>
      <c r="B47" s="12" t="s">
        <v>40</v>
      </c>
      <c r="C47" s="2"/>
      <c r="D47" s="16"/>
      <c r="E47" s="19">
        <f>E26+E28+E30+E32+E34+E36+E38+E40+E42+E44+E46</f>
        <v>55</v>
      </c>
      <c r="F47" s="19"/>
      <c r="G47" s="19">
        <f t="shared" ref="G47:K47" si="30">G26+G28+G30+G32+G34+G36+G38+G40+G42+G44+G46</f>
        <v>37</v>
      </c>
      <c r="H47" s="19"/>
      <c r="I47" s="19">
        <f t="shared" si="30"/>
        <v>43</v>
      </c>
      <c r="J47" s="19"/>
      <c r="K47" s="19">
        <f t="shared" si="30"/>
        <v>52</v>
      </c>
      <c r="L47" s="18"/>
      <c r="Q47" s="24"/>
    </row>
    <row r="48" spans="1:21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>
        <v>2.3796296296296296E-4</v>
      </c>
      <c r="F48" s="37"/>
      <c r="G48" s="37">
        <v>2.1782407407407408E-4</v>
      </c>
      <c r="H48" s="37"/>
      <c r="I48" s="37">
        <v>1.9247685185185185E-4</v>
      </c>
      <c r="J48" s="37"/>
      <c r="K48" s="37">
        <v>2.1770833333333332E-4</v>
      </c>
      <c r="L48" s="37"/>
      <c r="Q48" s="24"/>
    </row>
    <row r="49" spans="1:17" x14ac:dyDescent="0.2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1</v>
      </c>
      <c r="F49" s="14" cm="1">
        <f t="array" ref="F49">_xlfn.IFS(E49=4,1,E49=3,2,E49=2,3,E49=1,4,E48&lt;$D$48,"Too Fast",E48="DQ","DQ")</f>
        <v>4</v>
      </c>
      <c r="G49" s="9">
        <f>IF(G48="DQ",0,IF(G48&lt;$D$48,0,1+COUNTIFS($E$48:$K$48,"DQ")+COUNTIFS($E$48:$K$48,"&lt;"&amp;$D$48)+COUNTIF($E$48:$K$48,"&gt;"&amp;G48)))</f>
        <v>2</v>
      </c>
      <c r="H49" s="14" cm="1">
        <f t="array" ref="H49">_xlfn.IFS(G49=4,1,G49=3,2,G49=2,3,G49=1,4,G48&lt;$D$48,"Too Fast",G48="DQ","DQ")</f>
        <v>3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3</v>
      </c>
      <c r="L49" s="14" cm="1">
        <f t="array" ref="L49">_xlfn.IFS(K49=4,1,K49=3,2,K49=2,3,K49=1,4,K48&lt;$D$48,"Too Fast",K48="DQ","DQ")</f>
        <v>2</v>
      </c>
      <c r="Q49" s="24"/>
    </row>
    <row r="50" spans="1:17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7">
        <v>2.152777777777778E-4</v>
      </c>
      <c r="F50" s="37"/>
      <c r="G50" s="37">
        <v>1.857638888888889E-4</v>
      </c>
      <c r="H50" s="37"/>
      <c r="I50" s="37">
        <v>2.0231481481481481E-4</v>
      </c>
      <c r="J50" s="37"/>
      <c r="K50" s="37">
        <v>2.6319444444444442E-4</v>
      </c>
      <c r="L50" s="37"/>
      <c r="Q50" s="24"/>
    </row>
    <row r="51" spans="1:17" x14ac:dyDescent="0.2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0</v>
      </c>
      <c r="H51" s="14" t="str" cm="1">
        <f t="array" ref="H51">_xlfn.IFS(G51=4,1,G51=3,2,G51=2,3,G51=1,4,G50&lt;$D$50,"Too Fast",G50="DQ","DQ")</f>
        <v>Too Fast</v>
      </c>
      <c r="I51" s="9">
        <f>IF(I50="DQ",0,IF(I50&lt;$D$50,0,1+COUNTIFS($E$50:$K$50,"DQ")+COUNTIFS($E$50:$K$50,"&lt;"&amp;$D$50)+COUNTIF($E$50:$K$50,"&gt;"&amp;I50)))</f>
        <v>4</v>
      </c>
      <c r="J51" s="14" cm="1">
        <f t="array" ref="J51">_xlfn.IFS(I51=4,1,I51=3,2,I51=2,3,I51=1,4,I50&lt;$D$50,"Too Fast",I50="DQ","DQ")</f>
        <v>1</v>
      </c>
      <c r="K51" s="9">
        <f>IF(K50="DQ",0,IF(K50&lt;$D$50,0,1+COUNTIFS($E$50:$K$50,"DQ")+COUNTIFS($E$50:$K$50,"&lt;"&amp;$D$50)+COUNTIF($E$50:$K$50,"&gt;"&amp;K50)))</f>
        <v>2</v>
      </c>
      <c r="L51" s="14" cm="1">
        <f t="array" ref="L51">_xlfn.IFS(K51=4,1,K51=3,2,K51=2,3,K51=1,4,K50&lt;$D$50,"Too Fast",K50="DQ","DQ")</f>
        <v>3</v>
      </c>
      <c r="Q51" s="24"/>
    </row>
    <row r="52" spans="1:17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>
        <v>3.5162037037037036E-4</v>
      </c>
      <c r="F52" s="37"/>
      <c r="G52" s="37">
        <v>3.6631944444444445E-4</v>
      </c>
      <c r="H52" s="37"/>
      <c r="I52" s="37">
        <v>3.7592592592592587E-4</v>
      </c>
      <c r="J52" s="37"/>
      <c r="K52" s="37">
        <v>3.7581018518518519E-4</v>
      </c>
      <c r="L52" s="37"/>
      <c r="Q52" s="24"/>
    </row>
    <row r="53" spans="1:17" x14ac:dyDescent="0.2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0</v>
      </c>
      <c r="F53" s="14" t="str" cm="1">
        <f t="array" ref="F53">_xlfn.IFS(E53=4,1,E53=3,2,E53=2,3,E53=1,4,E52&lt;$D$52,"Too Fast",E52="DQ","DQ")</f>
        <v>Too Fast</v>
      </c>
      <c r="G53" s="9">
        <f>IF(G52="DQ",0,IF(G52&lt;$D$52,0,1+COUNTIFS($E$52:$K$52,"DQ")+COUNTIFS($E$52:$K$52,"&lt;"&amp;$D$52)+COUNTIF($E$52:$K$52,"&gt;"&amp;G52)))</f>
        <v>4</v>
      </c>
      <c r="H53" s="14" cm="1">
        <f t="array" ref="H53">_xlfn.IFS(G53=4,1,G53=3,2,G53=2,3,G53=1,4,G52&lt;$D$52,"Too Fast",G52="DQ","DQ")</f>
        <v>1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3</v>
      </c>
      <c r="L53" s="14" cm="1">
        <f t="array" ref="L53">_xlfn.IFS(K53=4,1,K53=3,2,K53=2,3,K53=1,4,K52&lt;$D$52,"Too Fast",K52="DQ","DQ")</f>
        <v>2</v>
      </c>
      <c r="Q53" s="24"/>
    </row>
    <row r="54" spans="1:17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>
        <v>3.7037037037037035E-4</v>
      </c>
      <c r="F54" s="37"/>
      <c r="G54" s="37">
        <v>3.8425925925925927E-4</v>
      </c>
      <c r="H54" s="37"/>
      <c r="I54" s="37">
        <v>4.2291666666666666E-4</v>
      </c>
      <c r="J54" s="37"/>
      <c r="K54" s="37">
        <v>3.7268518518518521E-4</v>
      </c>
      <c r="L54" s="37"/>
      <c r="Q54" s="24"/>
    </row>
    <row r="55" spans="1:17" x14ac:dyDescent="0.2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1</v>
      </c>
      <c r="J55" s="14" cm="1">
        <f t="array" ref="J55">_xlfn.IFS(I55=4,1,I55=3,2,I55=2,3,I55=1,4,I54&lt;$D$54,"Too Fast",I54="DQ","DQ")</f>
        <v>4</v>
      </c>
      <c r="K55" s="9">
        <f>IF(K54="DQ",0,IF(K54&lt;$D$54,0,1+COUNTIFS($E$54:$K$54,"DQ")+COUNTIFS($E$54:$K$54,"&lt;"&amp;$D$54)+COUNTIF($E$54:$K$54,"&gt;"&amp;K54)))</f>
        <v>3</v>
      </c>
      <c r="L55" s="14" cm="1">
        <f t="array" ref="L55">_xlfn.IFS(K55=4,1,K55=3,2,K55=2,3,K55=1,4,K54&lt;$D$54,"Too Fast",K54="DQ","DQ")</f>
        <v>2</v>
      </c>
      <c r="Q55" s="24"/>
    </row>
    <row r="56" spans="1:17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>
        <v>1.6930555555555555E-3</v>
      </c>
      <c r="F56" s="37"/>
      <c r="G56" s="37">
        <v>1.736574074074074E-3</v>
      </c>
      <c r="H56" s="37"/>
      <c r="I56" s="37">
        <v>1.707175925925926E-3</v>
      </c>
      <c r="J56" s="37"/>
      <c r="K56" s="37">
        <v>1.612037037037037E-3</v>
      </c>
      <c r="L56" s="37"/>
      <c r="Q56" s="24"/>
    </row>
    <row r="57" spans="1:17" x14ac:dyDescent="0.2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3</v>
      </c>
      <c r="F57" s="14" cm="1">
        <f t="array" ref="F57">_xlfn.IFS(E57=4,1,E57=3,2,E57=2,3,E57=1,4,E56&lt;$D$56,"Too Fast",E56="DQ","DQ")</f>
        <v>2</v>
      </c>
      <c r="G57" s="9">
        <f>IF(G56="DQ",0,IF(G56&lt;$D$56,0,1+COUNTIFS($E$56:$K$56,"DQ")+COUNTIFS($E$56:$K$56,"&lt;"&amp;$D$56)+COUNTIF($E$56:$K$56,"&gt;"&amp;G56)))</f>
        <v>1</v>
      </c>
      <c r="H57" s="14" cm="1">
        <f t="array" ref="H57">_xlfn.IFS(G57=4,1,G57=3,2,G57=2,3,G57=1,4,G56&lt;$D$56,"Too Fast",G56="DQ","DQ")</f>
        <v>4</v>
      </c>
      <c r="I57" s="9">
        <f>IF(I56="DQ",0,IF(I56&lt;$D$56,0,1+COUNTIFS($E$56:$K$56,"DQ")+COUNTIFS($E$56:$K$56,"&lt;"&amp;$D$56)+COUNTIF($E$56:$K$56,"&gt;"&amp;I56)))</f>
        <v>2</v>
      </c>
      <c r="J57" s="14" cm="1">
        <f t="array" ref="J57">_xlfn.IFS(I57=4,1,I57=3,2,I57=2,3,I57=1,4,I56&lt;$D$56,"Too Fast",I56="DQ","DQ")</f>
        <v>3</v>
      </c>
      <c r="K57" s="9">
        <f>IF(K56="DQ",0,IF(K56&lt;$D$56,0,1+COUNTIFS($E$56:$K$56,"DQ")+COUNTIFS($E$56:$K$56,"&lt;"&amp;$D$56)+COUNTIF($E$56:$K$56,"&gt;"&amp;K56)))</f>
        <v>4</v>
      </c>
      <c r="L57" s="14" cm="1">
        <f t="array" ref="L57">_xlfn.IFS(K57=4,1,K57=3,2,K57=2,3,K57=1,4,K56&lt;$D$56,"Too Fast",K56="DQ","DQ")</f>
        <v>1</v>
      </c>
      <c r="Q57" s="24"/>
    </row>
    <row r="58" spans="1:17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 t="s">
        <v>104</v>
      </c>
      <c r="F58" s="37"/>
      <c r="G58" s="37">
        <v>1.8232638888888888E-3</v>
      </c>
      <c r="H58" s="37"/>
      <c r="I58" s="37" t="s">
        <v>104</v>
      </c>
      <c r="J58" s="37"/>
      <c r="K58" s="37">
        <v>1.7679398148148149E-3</v>
      </c>
      <c r="L58" s="37"/>
      <c r="Q58" s="24"/>
    </row>
    <row r="59" spans="1:17" x14ac:dyDescent="0.2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0</v>
      </c>
      <c r="F59" s="14" t="str" cm="1">
        <f t="array" ref="F59">_xlfn.IFS(E59=4,1,E59=3,2,E59=2,3,E59=1,4,E58&lt;$D$58,"Too Fast",E58="DQ","DQ")</f>
        <v>DQ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0</v>
      </c>
      <c r="J59" s="14" t="str" cm="1">
        <f t="array" ref="J59">_xlfn.IFS(I59=4,1,I59=3,2,I59=2,3,I59=1,4,I58&lt;$D$58,"Too Fast",I58="DQ","DQ")</f>
        <v>DQ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Q59" s="24"/>
    </row>
    <row r="60" spans="1:17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>
        <v>1.5364583333333333E-3</v>
      </c>
      <c r="F60" s="37"/>
      <c r="G60" s="37">
        <v>1.8236111111111111E-3</v>
      </c>
      <c r="H60" s="37"/>
      <c r="I60" s="37">
        <v>1.6662037037037038E-3</v>
      </c>
      <c r="J60" s="37"/>
      <c r="K60" s="37">
        <v>1.5831018518518518E-3</v>
      </c>
      <c r="L60" s="37"/>
      <c r="Q60" s="24"/>
    </row>
    <row r="61" spans="1:17" x14ac:dyDescent="0.2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4</v>
      </c>
      <c r="F61" s="14" cm="1">
        <f t="array" ref="F61">_xlfn.IFS(E61=4,1,E61=3,2,E61=2,3,E61=1,4,E60&lt;$D$60,"Too Fast",E60="DQ","DQ")</f>
        <v>1</v>
      </c>
      <c r="G61" s="9">
        <f>IF(G60="DQ",0,IF(G60&lt;$D$60,0,1+COUNTIFS($E$60:$K$60,"DQ")+COUNTIFS($E$60:$K$60,"&lt;"&amp;$D$60)+COUNTIF($E$60:$K$60,"&gt;"&amp;G60)))</f>
        <v>1</v>
      </c>
      <c r="H61" s="14" cm="1">
        <f t="array" ref="H61">_xlfn.IFS(G61=4,1,G61=3,2,G61=2,3,G61=1,4,G60&lt;$D$60,"Too Fast",G60="DQ","DQ")</f>
        <v>4</v>
      </c>
      <c r="I61" s="9">
        <f>IF(I60="DQ",0,IF(I60&lt;$D$60,0,1+COUNTIFS($E$60:$K$60,"DQ")+COUNTIFS($E$60:$K$60,"&lt;"&amp;$D$60)+COUNTIF($E$60:$K$60,"&gt;"&amp;I60)))</f>
        <v>2</v>
      </c>
      <c r="J61" s="14" cm="1">
        <f t="array" ref="J61">_xlfn.IFS(I61=4,1,I61=3,2,I61=2,3,I61=1,4,I60&lt;$D$60,"Too Fast",I60="DQ","DQ")</f>
        <v>3</v>
      </c>
      <c r="K61" s="9">
        <f>IF(K60="DQ",0,IF(K60&lt;$D$60,0,1+COUNTIFS($E$60:$K$60,"DQ")+COUNTIFS($E$60:$K$60,"&lt;"&amp;$D$60)+COUNTIF($E$60:$K$60,"&gt;"&amp;K60)))</f>
        <v>3</v>
      </c>
      <c r="L61" s="14" cm="1">
        <f t="array" ref="L61">_xlfn.IFS(K61=4,1,K61=3,2,K61=2,3,K61=1,4,K60&lt;$D$60,"Too Fast",K60="DQ","DQ")</f>
        <v>2</v>
      </c>
      <c r="Q61" s="24"/>
    </row>
    <row r="62" spans="1:17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>
        <v>1.4431712962962963E-3</v>
      </c>
      <c r="F62" s="37"/>
      <c r="G62" s="37" t="s">
        <v>104</v>
      </c>
      <c r="H62" s="37"/>
      <c r="I62" s="37">
        <v>1.4545138888888889E-3</v>
      </c>
      <c r="J62" s="37"/>
      <c r="K62" s="37">
        <v>1.3932870370370371E-3</v>
      </c>
      <c r="L62" s="37"/>
      <c r="Q62" s="24"/>
    </row>
    <row r="63" spans="1:17" x14ac:dyDescent="0.2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3</v>
      </c>
      <c r="F63" s="14" cm="1">
        <f t="array" ref="F63">_xlfn.IFS(E63=4,1,E63=3,2,E63=2,3,E63=1,4,E62&lt;$D$62,"Too Fast",E62="DQ","DQ")</f>
        <v>2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_xlfn.IFS(G63=4,1,G63=3,2,G63=2,3,G63=1,4,G62&lt;$D$62,"Too Fast",G62="DQ","DQ")</f>
        <v>DQ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Q63" s="24"/>
    </row>
    <row r="64" spans="1:17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7">
        <v>2.3877314814814814E-4</v>
      </c>
      <c r="F64" s="37"/>
      <c r="G64" s="37">
        <v>2.1898148148148151E-4</v>
      </c>
      <c r="H64" s="37"/>
      <c r="I64" s="37">
        <v>2.3437499999999999E-4</v>
      </c>
      <c r="J64" s="37"/>
      <c r="K64" s="37">
        <v>2.1539351851851852E-4</v>
      </c>
      <c r="L64" s="37"/>
      <c r="Q64" s="24"/>
    </row>
    <row r="65" spans="1:17" x14ac:dyDescent="0.2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3</v>
      </c>
      <c r="H65" s="14" cm="1">
        <f t="array" ref="H65">_xlfn.IFS(G65=4,1,G65=3,2,G65=2,3,G65=1,4,G64&lt;$D$64,"Too Fast",G64="DQ","DQ")</f>
        <v>2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4</v>
      </c>
      <c r="L65" s="14" cm="1">
        <f t="array" ref="L65">_xlfn.IFS(K65=4,1,K65=3,2,K65=2,3,K65=1,4,K64&lt;$D$64,"Too Fast",K64="DQ","DQ")</f>
        <v>1</v>
      </c>
      <c r="Q65" s="24"/>
    </row>
    <row r="66" spans="1:17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7">
        <v>2.3321759259259256E-4</v>
      </c>
      <c r="F66" s="37"/>
      <c r="G66" s="37">
        <v>2.4305555555555555E-4</v>
      </c>
      <c r="H66" s="37"/>
      <c r="I66" s="37">
        <v>2.5393518518518522E-4</v>
      </c>
      <c r="J66" s="37"/>
      <c r="K66" s="37">
        <v>2.6134259259259258E-4</v>
      </c>
      <c r="L66" s="37"/>
      <c r="Q66" s="24"/>
    </row>
    <row r="67" spans="1:17" x14ac:dyDescent="0.2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4</v>
      </c>
      <c r="F67" s="14" cm="1">
        <f t="array" ref="F67">_xlfn.IFS(E67=4,1,E67=3,2,E67=2,3,E67=1,4,E66&lt;$D$66,"Too Fast",E66="DQ","DQ")</f>
        <v>1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2</v>
      </c>
      <c r="J67" s="14" cm="1">
        <f t="array" ref="J67">_xlfn.IFS(I67=4,1,I67=3,2,I67=2,3,I67=1,4,I66&lt;$D$66,"Too Fast",I66="DQ","DQ")</f>
        <v>3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Q67" s="24"/>
    </row>
    <row r="68" spans="1:17" x14ac:dyDescent="0.25">
      <c r="A68" s="2"/>
      <c r="B68" s="12" t="s">
        <v>52</v>
      </c>
      <c r="C68" s="3"/>
      <c r="D68" s="16"/>
      <c r="E68" s="19">
        <f>E47+E49+E51+E53+E55+E57+E59+E61+E63+E65+E67</f>
        <v>78</v>
      </c>
      <c r="F68" s="19"/>
      <c r="G68" s="19">
        <f t="shared" ref="G68:K68" si="31">G47+G49+G51+G53+G55+G57+G59+G61+G63+G65+G67</f>
        <v>56</v>
      </c>
      <c r="H68" s="19"/>
      <c r="I68" s="19">
        <f t="shared" si="31"/>
        <v>64</v>
      </c>
      <c r="J68" s="19"/>
      <c r="K68" s="19">
        <f t="shared" si="31"/>
        <v>83</v>
      </c>
      <c r="L68" s="18"/>
      <c r="Q68" s="24"/>
    </row>
    <row r="69" spans="1:17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>
        <v>4.5937499999999999E-4</v>
      </c>
      <c r="F69" s="36"/>
      <c r="G69" s="41">
        <v>4.1319444444444449E-4</v>
      </c>
      <c r="H69" s="36"/>
      <c r="I69" s="35">
        <v>4.7106481481481484E-4</v>
      </c>
      <c r="J69" s="36"/>
      <c r="K69" s="35">
        <v>4.3402777777777775E-4</v>
      </c>
      <c r="L69" s="36"/>
      <c r="Q69" s="24"/>
    </row>
    <row r="70" spans="1:17" x14ac:dyDescent="0.2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2</v>
      </c>
      <c r="F70" s="14" cm="1">
        <f t="array" ref="F70">_xlfn.IFS(E70=4,1,E70=3,2,E70=2,3,E70=1,4,E69&lt;$D$69,"Too Fast",E69="DQ","DQ")</f>
        <v>3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3</v>
      </c>
      <c r="L70" s="14" cm="1">
        <f t="array" ref="L70">_xlfn.IFS(K70=4,1,K70=3,2,K70=2,3,K70=1,4,K69&lt;$D$69,"Too Fast",K69="DQ","DQ")</f>
        <v>2</v>
      </c>
    </row>
    <row r="71" spans="1:17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>
        <v>3.9710648148148152E-4</v>
      </c>
      <c r="F71" s="36"/>
      <c r="G71" s="35">
        <v>5.135416666666666E-4</v>
      </c>
      <c r="H71" s="36"/>
      <c r="I71" s="35">
        <v>5.0081018518518519E-4</v>
      </c>
      <c r="J71" s="36"/>
      <c r="K71" s="35">
        <v>4.270833333333333E-4</v>
      </c>
      <c r="L71" s="36"/>
    </row>
    <row r="72" spans="1:17" x14ac:dyDescent="0.2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2</v>
      </c>
      <c r="H72" s="14" cm="1">
        <f t="array" ref="H72">_xlfn.IFS(G72=4,1,G72=3,2,G72=2,3,G72=1,4,G71&lt;$D$71,"Too Fast",G71="DQ","DQ")</f>
        <v>3</v>
      </c>
      <c r="I72" s="9">
        <f>IF(I71="DQ",0,IF(I71&lt;$D$71,0,1+COUNTIFS($E$71:$K$71,"DQ")+COUNTIFS($E$71:$K$71,"&lt;"&amp;$D$71)+COUNTIF($E$71:$K$71,"&gt;"&amp;I71)))</f>
        <v>3</v>
      </c>
      <c r="J72" s="14" cm="1">
        <f t="array" ref="J72">_xlfn.IFS(I72=4,1,I72=3,2,I72=2,3,I72=1,4,I71&lt;$D$71,"Too Fast",I71="DQ","DQ")</f>
        <v>2</v>
      </c>
      <c r="K72" s="9">
        <f>IF(K71="DQ",0,IF(K71&lt;$D$71,0,1+COUNTIFS($E$71:$K$71,"DQ")+COUNTIFS($E$71:$K$71,"&lt;"&amp;$D$71)+COUNTIF($E$71:$K$71,"&gt;"&amp;K71)))</f>
        <v>4</v>
      </c>
      <c r="L72" s="14" cm="1">
        <f t="array" ref="L72">_xlfn.IFS(K72=4,1,K72=3,2,K72=2,3,K72=1,4,K71&lt;$D$71,"Too Fast",K71="DQ","DQ")</f>
        <v>1</v>
      </c>
    </row>
    <row r="73" spans="1:17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>
        <v>3.6284722222222225E-4</v>
      </c>
      <c r="F73" s="36"/>
      <c r="G73" s="35">
        <v>3.7187500000000003E-4</v>
      </c>
      <c r="H73" s="36"/>
      <c r="I73" s="35">
        <v>3.914351851851852E-4</v>
      </c>
      <c r="J73" s="36"/>
      <c r="K73" s="35">
        <v>3.7361111111111113E-4</v>
      </c>
      <c r="L73" s="36"/>
    </row>
    <row r="74" spans="1:17" x14ac:dyDescent="0.2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4</v>
      </c>
      <c r="F74" s="14" cm="1">
        <f t="array" ref="F74">_xlfn.IFS(E74=4,1,E74=3,2,E74=2,3,E74=1,4,E73&lt;$D$73,"Too Fast",E73="DQ","DQ")</f>
        <v>1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>
        <v>4.1168981481481482E-4</v>
      </c>
      <c r="F75" s="36"/>
      <c r="G75" s="35">
        <v>3.5335648148148151E-4</v>
      </c>
      <c r="H75" s="36"/>
      <c r="I75" s="35">
        <v>3.9074074074074071E-4</v>
      </c>
      <c r="J75" s="36"/>
      <c r="K75" s="35">
        <v>3.3495370370370374E-4</v>
      </c>
      <c r="L75" s="36"/>
    </row>
    <row r="76" spans="1:17" x14ac:dyDescent="0.2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1</v>
      </c>
      <c r="F76" s="14" cm="1">
        <f t="array" ref="F76">_xlfn.IFS(E76=4,1,E76=3,2,E76=2,3,E76=1,4,E75&lt;$D$75,"Too Fast",E75="DQ","DQ")</f>
        <v>4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4</v>
      </c>
      <c r="L76" s="14" cm="1">
        <f t="array" ref="L76">_xlfn.IFS(K76=4,1,K76=3,2,K76=2,3,K76=1,4,K75&lt;$D$75,"Too Fast",K75="DQ","DQ")</f>
        <v>1</v>
      </c>
    </row>
    <row r="77" spans="1:17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>
        <v>1.0011574074074074E-3</v>
      </c>
      <c r="F77" s="36"/>
      <c r="G77" s="35">
        <v>1.1505787037037036E-3</v>
      </c>
      <c r="H77" s="36"/>
      <c r="I77" s="35">
        <v>1.0349537037037037E-3</v>
      </c>
      <c r="J77" s="36"/>
      <c r="K77" s="35">
        <v>9.8958333333333342E-4</v>
      </c>
      <c r="L77" s="36"/>
    </row>
    <row r="78" spans="1:17" x14ac:dyDescent="0.2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3</v>
      </c>
      <c r="F78" s="14" cm="1">
        <f t="array" ref="F78">_xlfn.IFS(E78=4,1,E78=3,2,E78=2,3,E78=1,4,E77&lt;$D$77,"Too Fast",E77="DQ","DQ")</f>
        <v>2</v>
      </c>
      <c r="G78" s="9">
        <f>IF(G77="DQ",0,IF(G77&lt;$D$77,0,1+COUNTIFS($E$77:$K$77,"DQ")+COUNTIFS($E$77:$K$77,"&lt;"&amp;$D$77)+COUNTIF($E$77:$K$77,"&gt;"&amp;G77)))</f>
        <v>1</v>
      </c>
      <c r="H78" s="14" cm="1">
        <f t="array" ref="H78">_xlfn.IFS(G78=4,1,G78=3,2,G78=2,3,G78=1,4,G77&lt;$D$77,"Too Fast",G77="DQ","DQ")</f>
        <v>4</v>
      </c>
      <c r="I78" s="9">
        <f>IF(I77="DQ",0,IF(I77&lt;$D$77,0,1+COUNTIFS($E$77:$K$77,"DQ")+COUNTIFS($E$77:$K$77,"&lt;"&amp;$D$77)+COUNTIF($E$77:$K$77,"&gt;"&amp;I77)))</f>
        <v>2</v>
      </c>
      <c r="J78" s="14" cm="1">
        <f t="array" ref="J78">_xlfn.IFS(I78=4,1,I78=3,2,I78=2,3,I78=1,4,I77&lt;$D$77,"Too Fast",I77="DQ","DQ")</f>
        <v>3</v>
      </c>
      <c r="K78" s="9">
        <f>IF(K77="DQ",0,IF(K77&lt;$D$77,0,1+COUNTIFS($E$77:$K$77,"DQ")+COUNTIFS($E$77:$K$77,"&lt;"&amp;$D$77)+COUNTIF($E$77:$K$77,"&gt;"&amp;K77)))</f>
        <v>4</v>
      </c>
      <c r="L78" s="14" cm="1">
        <f t="array" ref="L78">_xlfn.IFS(K78=4,1,K78=3,2,K78=2,3,K78=1,4,K77&lt;$D$77,"Too Fast",K77="DQ","DQ")</f>
        <v>1</v>
      </c>
    </row>
    <row r="79" spans="1:17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 t="s">
        <v>104</v>
      </c>
      <c r="F79" s="36"/>
      <c r="G79" s="35">
        <v>9.8761574074074073E-4</v>
      </c>
      <c r="H79" s="36"/>
      <c r="I79" s="35">
        <v>9.0856481481481485E-4</v>
      </c>
      <c r="J79" s="36"/>
      <c r="K79" s="35" t="s">
        <v>104</v>
      </c>
      <c r="L79" s="36"/>
    </row>
    <row r="80" spans="1:17" x14ac:dyDescent="0.2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0</v>
      </c>
      <c r="F80" s="14" t="str" cm="1">
        <f t="array" ref="F80">_xlfn.IFS(E80=4,1,E80=3,2,E80=2,3,E80=1,4,E79&lt;$D$79,"Too Fast",E79="DQ","DQ")</f>
        <v>DQ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0</v>
      </c>
      <c r="L80" s="14" t="str" cm="1">
        <f t="array" ref="L80">_xlfn.IFS(K80=4,1,K80=3,2,K80=2,3,K80=1,4,K79&lt;$D$79,"Too Fast",K79="DQ","DQ")</f>
        <v>DQ</v>
      </c>
    </row>
    <row r="81" spans="1:12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>
        <v>8.2893518518518527E-4</v>
      </c>
      <c r="F81" s="36"/>
      <c r="G81" s="35">
        <v>8.5497685185185188E-4</v>
      </c>
      <c r="H81" s="36"/>
      <c r="I81" s="35">
        <v>8.3055555555555563E-4</v>
      </c>
      <c r="J81" s="36"/>
      <c r="K81" s="35">
        <v>8.1759259259259263E-4</v>
      </c>
      <c r="L81" s="36"/>
    </row>
    <row r="82" spans="1:12" x14ac:dyDescent="0.2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3</v>
      </c>
      <c r="F82" s="14" cm="1">
        <f t="array" ref="F82">_xlfn.IFS(E82=4,1,E82=3,2,E82=2,3,E82=1,4,E81&lt;$D$81,"Too Fast",E81="DQ","DQ")</f>
        <v>2</v>
      </c>
      <c r="G82" s="9">
        <f>IF(G81="DQ",0,IF(G81&lt;$D$81,0,1+COUNTIFS($E$81:$K$81,"DQ")+COUNTIFS($E$81:$K$81,"&lt;"&amp;$D$81)+COUNTIF($E$81:$K$81,"&gt;"&amp;G81)))</f>
        <v>1</v>
      </c>
      <c r="H82" s="14" cm="1">
        <f t="array" ref="H82">_xlfn.IFS(G82=4,1,G82=3,2,G82=2,3,G82=1,4,G81&lt;$D$81,"Too Fast",G81="DQ","DQ")</f>
        <v>4</v>
      </c>
      <c r="I82" s="9">
        <f>IF(I81="DQ",0,IF(I81&lt;$D$81,0,1+COUNTIFS($E$81:$K$81,"DQ")+COUNTIFS($E$81:$K$81,"&lt;"&amp;$D$81)+COUNTIF($E$81:$K$81,"&gt;"&amp;I81)))</f>
        <v>2</v>
      </c>
      <c r="J82" s="14" cm="1">
        <f t="array" ref="J82">_xlfn.IFS(I82=4,1,I82=3,2,I82=2,3,I82=1,4,I81&lt;$D$81,"Too Fast",I81="DQ","DQ")</f>
        <v>3</v>
      </c>
      <c r="K82" s="9">
        <f>IF(K81="DQ",0,IF(K81&lt;$D$81,0,1+COUNTIFS($E$81:$K$81,"DQ")+COUNTIFS($E$81:$K$81,"&lt;"&amp;$D$81)+COUNTIF($E$81:$K$81,"&gt;"&amp;K81)))</f>
        <v>4</v>
      </c>
      <c r="L82" s="14" cm="1">
        <f t="array" ref="L82">_xlfn.IFS(K82=4,1,K82=3,2,K82=2,3,K82=1,4,K81&lt;$D$81,"Too Fast",K81="DQ","DQ")</f>
        <v>1</v>
      </c>
    </row>
    <row r="83" spans="1:12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>
        <v>8.3298611111111106E-4</v>
      </c>
      <c r="F83" s="36"/>
      <c r="G83" s="35">
        <v>8.8518518518518525E-4</v>
      </c>
      <c r="H83" s="36"/>
      <c r="I83" s="35">
        <v>9.0729166666666671E-4</v>
      </c>
      <c r="J83" s="36"/>
      <c r="K83" s="35">
        <v>9.5324074074074072E-4</v>
      </c>
      <c r="L83" s="36"/>
    </row>
    <row r="84" spans="1:12" x14ac:dyDescent="0.2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4</v>
      </c>
      <c r="F84" s="14" cm="1">
        <f t="array" ref="F84">_xlfn.IFS(E84=4,1,E84=3,2,E84=2,3,E84=1,4,E83&lt;$D$83,"Too Fast",E83="DQ","DQ")</f>
        <v>1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2</v>
      </c>
      <c r="J84" s="14" cm="1">
        <f t="array" ref="J84">_xlfn.IFS(I84=4,1,I84=3,2,I84=2,3,I84=1,4,I83&lt;$D$83,"Too Fast",I83="DQ","DQ")</f>
        <v>3</v>
      </c>
      <c r="K84" s="9">
        <f>IF(K83="DQ",0,IF(K83&lt;$D$83,0,1+COUNTIFS($E$83:$K$83,"DQ")+COUNTIFS($E$83:$K$83,"&lt;"&amp;$D$83)+COUNTIF($E$83:$K$83,"&gt;"&amp;K83)))</f>
        <v>1</v>
      </c>
      <c r="L84" s="14" cm="1">
        <f t="array" ref="L84">_xlfn.IFS(K84=4,1,K84=3,2,K84=2,3,K84=1,4,K83&lt;$D$83,"Too Fast",K83="DQ","DQ")</f>
        <v>4</v>
      </c>
    </row>
    <row r="85" spans="1:12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>
        <v>8.5902777777777778E-4</v>
      </c>
      <c r="F85" s="36"/>
      <c r="G85" s="35" t="s">
        <v>104</v>
      </c>
      <c r="H85" s="36"/>
      <c r="I85" s="35">
        <v>8.827546296296296E-4</v>
      </c>
      <c r="J85" s="36"/>
      <c r="K85" s="35">
        <v>8.0150462962962966E-4</v>
      </c>
      <c r="L85" s="36"/>
    </row>
    <row r="86" spans="1:12" x14ac:dyDescent="0.2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0</v>
      </c>
      <c r="H86" s="14" t="str" cm="1">
        <f t="array" ref="H86">_xlfn.IFS(G86=4,1,G86=3,2,G86=2,3,G86=1,4,G85&lt;$D$85,"Too Fast",G85="DQ","DQ")</f>
        <v>DQ</v>
      </c>
      <c r="I86" s="9">
        <f>IF(I85="DQ",0,IF(I85&lt;$D$85,0,1+COUNTIFS($E$85:$K$85,"DQ")+COUNTIFS($E$85:$K$85,"&lt;"&amp;$D$85)+COUNTIF($E$85:$K$85,"&gt;"&amp;I85)))</f>
        <v>2</v>
      </c>
      <c r="J86" s="14" cm="1">
        <f t="array" ref="J86">_xlfn.IFS(I86=4,1,I86=3,2,I86=2,3,I86=1,4,I85&lt;$D$85,"Too Fast",I85="DQ","DQ")</f>
        <v>3</v>
      </c>
      <c r="K86" s="9">
        <f>IF(K85="DQ",0,IF(K85&lt;$D$85,0,1+COUNTIFS($E$85:$K$85,"DQ")+COUNTIFS($E$85:$K$85,"&lt;"&amp;$D$85)+COUNTIF($E$85:$K$85,"&gt;"&amp;K85)))</f>
        <v>4</v>
      </c>
      <c r="L86" s="14" cm="1">
        <f t="array" ref="L86">_xlfn.IFS(K86=4,1,K86=3,2,K86=2,3,K86=1,4,K85&lt;$D$85,"Too Fast",K85="DQ","DQ")</f>
        <v>1</v>
      </c>
    </row>
    <row r="87" spans="1:12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>
        <v>7.2268518518518515E-4</v>
      </c>
      <c r="F87" s="36"/>
      <c r="G87" s="35">
        <v>9.0729166666666671E-4</v>
      </c>
      <c r="H87" s="36"/>
      <c r="I87" s="35">
        <v>9.1620370370370369E-4</v>
      </c>
      <c r="J87" s="36"/>
      <c r="K87" s="35">
        <v>8.59375E-4</v>
      </c>
      <c r="L87" s="36"/>
    </row>
    <row r="88" spans="1:12" x14ac:dyDescent="0.2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4</v>
      </c>
      <c r="F88" s="14" cm="1">
        <f t="array" ref="F88">_xlfn.IFS(E88=4,1,E88=3,2,E88=2,3,E88=1,4,E87&lt;$D$87,"Too Fast",E87="DQ","DQ")</f>
        <v>1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1</v>
      </c>
      <c r="J88" s="14" cm="1">
        <f t="array" ref="J88">_xlfn.IFS(I88=4,1,I88=3,2,I88=2,3,I88=1,4,I87&lt;$D$87,"Too Fast",I87="DQ","DQ")</f>
        <v>4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</row>
    <row r="89" spans="1:12" x14ac:dyDescent="0.25">
      <c r="A89" s="2"/>
      <c r="B89" s="12" t="s">
        <v>63</v>
      </c>
      <c r="C89" s="3"/>
      <c r="D89" s="16"/>
      <c r="E89" s="19">
        <f>E68+E70+E72+E74+E76+E78+E80+E82+E84+E86+E88</f>
        <v>102</v>
      </c>
      <c r="F89" s="19"/>
      <c r="G89" s="19">
        <f t="shared" ref="G89:K89" si="32">G68+G70+G72+G74+G76+G78+G80+G82+G84+G86+G88</f>
        <v>78</v>
      </c>
      <c r="H89" s="19"/>
      <c r="I89" s="19">
        <f t="shared" si="32"/>
        <v>84</v>
      </c>
      <c r="J89" s="19"/>
      <c r="K89" s="19">
        <f t="shared" si="32"/>
        <v>112</v>
      </c>
      <c r="L89" s="18"/>
    </row>
    <row r="90" spans="1:12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>
        <v>3.8402777777777779E-4</v>
      </c>
      <c r="F90" s="36"/>
      <c r="G90" s="35">
        <v>3.8888888888888892E-4</v>
      </c>
      <c r="H90" s="36"/>
      <c r="I90" s="35">
        <v>4.4791666666666672E-4</v>
      </c>
      <c r="J90" s="36"/>
      <c r="K90" s="35">
        <v>3.8182870370370372E-4</v>
      </c>
      <c r="L90" s="36"/>
    </row>
    <row r="91" spans="1:12" x14ac:dyDescent="0.2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1</v>
      </c>
      <c r="J91" s="14" cm="1">
        <f t="array" ref="J91">_xlfn.IFS(I91=4,1,I91=3,2,I91=2,3,I91=1,4,I90&lt;$D$90,"Too Fast",I90="DQ","DQ")</f>
        <v>4</v>
      </c>
      <c r="K91" s="9">
        <f>IF(K90="DQ",0,IF(K90&lt;$D$90,0,1+COUNTIFS($E$90:$K$90,"DQ")+COUNTIFS($E$90:$K$90,"&lt;"&amp;$D$90)+COUNTIF($E$90:$K$90,"&gt;"&amp;K90)))</f>
        <v>4</v>
      </c>
      <c r="L91" s="14" cm="1">
        <f t="array" ref="L91">_xlfn.IFS(K91=4,1,K91=3,2,K91=2,3,K91=1,4,K90&lt;$D$90,"Too Fast",K90="DQ","DQ")</f>
        <v>1</v>
      </c>
    </row>
    <row r="92" spans="1:12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>
        <v>3.950231481481482E-4</v>
      </c>
      <c r="F92" s="36"/>
      <c r="G92" s="35">
        <v>4.3275462962962961E-4</v>
      </c>
      <c r="H92" s="36"/>
      <c r="I92" s="35">
        <v>3.979166666666667E-4</v>
      </c>
      <c r="J92" s="36"/>
      <c r="K92" s="35">
        <v>4.3009259259259254E-4</v>
      </c>
      <c r="L92" s="36"/>
    </row>
    <row r="93" spans="1:12" x14ac:dyDescent="0.2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4</v>
      </c>
      <c r="F93" s="14" cm="1">
        <f t="array" ref="F93">_xlfn.IFS(E93=4,1,E93=3,2,E93=2,3,E93=1,4,E92&lt;$D$92,"Too Fast",E92="DQ","DQ")</f>
        <v>1</v>
      </c>
      <c r="G93" s="9">
        <f>IF(G92="DQ",0,IF(G92&lt;$D$92,0,1+COUNTIFS($E$92:$K$92,"DQ")+COUNTIFS($E$92:$K$92,"&lt;"&amp;$D$92)+COUNTIF($E$92:$K$92,"&gt;"&amp;G92)))</f>
        <v>1</v>
      </c>
      <c r="H93" s="14" cm="1">
        <f t="array" ref="H93">_xlfn.IFS(G93=4,1,G93=3,2,G93=2,3,G93=1,4,G92&lt;$D$92,"Too Fast",G92="DQ","DQ")</f>
        <v>4</v>
      </c>
      <c r="I93" s="9">
        <f>IF(I92="DQ",0,IF(I92&lt;$D$92,0,1+COUNTIFS($E$92:$K$92,"DQ")+COUNTIFS($E$92:$K$92,"&lt;"&amp;$D$92)+COUNTIF($E$92:$K$92,"&gt;"&amp;I92)))</f>
        <v>3</v>
      </c>
      <c r="J93" s="14" cm="1">
        <f t="array" ref="J93">_xlfn.IFS(I93=4,1,I93=3,2,I93=2,3,I93=1,4,I92&lt;$D$92,"Too Fast",I92="DQ","DQ")</f>
        <v>2</v>
      </c>
      <c r="K93" s="9">
        <f>IF(K92="DQ",0,IF(K92&lt;$D$92,0,1+COUNTIFS($E$92:$K$92,"DQ")+COUNTIFS($E$92:$K$92,"&lt;"&amp;$D$92)+COUNTIF($E$92:$K$92,"&gt;"&amp;K92)))</f>
        <v>2</v>
      </c>
      <c r="L93" s="14" cm="1">
        <f t="array" ref="L93">_xlfn.IFS(K93=4,1,K93=3,2,K93=2,3,K93=1,4,K92&lt;$D$92,"Too Fast",K92="DQ","DQ")</f>
        <v>3</v>
      </c>
    </row>
    <row r="94" spans="1:12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>
        <v>7.7766203703703699E-4</v>
      </c>
      <c r="F94" s="36"/>
      <c r="G94" s="35">
        <v>8.1041666666666664E-4</v>
      </c>
      <c r="H94" s="36"/>
      <c r="I94" s="35">
        <v>7.9594907407407403E-4</v>
      </c>
      <c r="J94" s="36"/>
      <c r="K94" s="35">
        <v>7.6203703703703709E-4</v>
      </c>
      <c r="L94" s="36"/>
    </row>
    <row r="95" spans="1:12" x14ac:dyDescent="0.2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3</v>
      </c>
      <c r="F95" s="14" cm="1">
        <f t="array" ref="F95">_xlfn.IFS(E95=4,1,E95=3,2,E95=2,3,E95=1,4,E94&lt;$D$94,"Too Fast",E94="DQ","DQ")</f>
        <v>2</v>
      </c>
      <c r="G95" s="9">
        <f>IF(G94="DQ",0,IF(G94&lt;$D$94,0,1+COUNTIFS($E$94:$K$94,"DQ")+COUNTIFS($E$94:$K$94,"&lt;"&amp;$D$94)+COUNTIF($E$94:$K$94,"&gt;"&amp;G94)))</f>
        <v>1</v>
      </c>
      <c r="H95" s="14" cm="1">
        <f t="array" ref="H95">_xlfn.IFS(G95=4,1,G95=3,2,G95=2,3,G95=1,4,G94&lt;$D$94,"Too Fast",G94="DQ","DQ")</f>
        <v>4</v>
      </c>
      <c r="I95" s="9">
        <f>IF(I94="DQ",0,IF(I94&lt;$D$94,0,1+COUNTIFS($E$94:$K$94,"DQ")+COUNTIFS($E$94:$K$94,"&lt;"&amp;$D$94)+COUNTIF($E$94:$K$94,"&gt;"&amp;I94)))</f>
        <v>2</v>
      </c>
      <c r="J95" s="14" cm="1">
        <f t="array" ref="J95">_xlfn.IFS(I95=4,1,I95=3,2,I95=2,3,I95=1,4,I94&lt;$D$94,"Too Fast",I94="DQ","DQ")</f>
        <v>3</v>
      </c>
      <c r="K95" s="9">
        <f>IF(K94="DQ",0,IF(K94&lt;$D$94,0,1+COUNTIFS($E$94:$K$94,"DQ")+COUNTIFS($E$94:$K$94,"&lt;"&amp;$D$94)+COUNTIF($E$94:$K$94,"&gt;"&amp;K94)))</f>
        <v>4</v>
      </c>
      <c r="L95" s="14" cm="1">
        <f t="array" ref="L95">_xlfn.IFS(K95=4,1,K95=3,2,K95=2,3,K95=1,4,K94&lt;$D$94,"Too Fast",K94="DQ","DQ")</f>
        <v>1</v>
      </c>
    </row>
    <row r="96" spans="1:12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>
        <v>7.0497685185185181E-4</v>
      </c>
      <c r="F96" s="36"/>
      <c r="G96" s="35">
        <v>8.0983796296296294E-4</v>
      </c>
      <c r="H96" s="36"/>
      <c r="I96" s="35">
        <v>7.0046296296296295E-4</v>
      </c>
      <c r="J96" s="36"/>
      <c r="K96" s="35">
        <v>7.0451388888888885E-4</v>
      </c>
      <c r="L96" s="36"/>
    </row>
    <row r="97" spans="1:12" x14ac:dyDescent="0.2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>
        <v>2.8958333333333332E-4</v>
      </c>
      <c r="F98" s="36"/>
      <c r="G98" s="35">
        <v>2.7627314814814816E-4</v>
      </c>
      <c r="H98" s="36"/>
      <c r="I98" s="35">
        <v>2.74537037037037E-4</v>
      </c>
      <c r="J98" s="36"/>
      <c r="K98" s="35">
        <v>2.8946759259259263E-4</v>
      </c>
      <c r="L98" s="36"/>
    </row>
    <row r="99" spans="1:12" x14ac:dyDescent="0.2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1</v>
      </c>
      <c r="F99" s="14" cm="1">
        <f t="array" ref="F99">_xlfn.IFS(E99=4,1,E99=3,2,E99=2,3,E99=1,4,E98&lt;$D$98,"Too Fast",E98="DQ","DQ")</f>
        <v>4</v>
      </c>
      <c r="G99" s="9">
        <f>IF(G98="DQ",0,IF(G98&lt;$D$98,0,1+COUNTIFS($E$98:$K$98,"DQ")+COUNTIFS($E$98:$K$98,"&lt;"&amp;$D$98)+COUNTIF($E$98:$K$98,"&gt;"&amp;G98)))</f>
        <v>3</v>
      </c>
      <c r="H99" s="14" cm="1">
        <f t="array" ref="H99">_xlfn.IFS(G99=4,1,G99=3,2,G99=2,3,G99=1,4,G98&lt;$D$98,"Too Fast",G98="DQ","DQ")</f>
        <v>2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2</v>
      </c>
      <c r="L99" s="14" cm="1">
        <f t="array" ref="L99">_xlfn.IFS(K99=4,1,K99=3,2,K99=2,3,K99=1,4,K98&lt;$D$98,"Too Fast",K98="DQ","DQ")</f>
        <v>3</v>
      </c>
    </row>
    <row r="100" spans="1:12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>
        <v>2.5138888888888889E-4</v>
      </c>
      <c r="F100" s="36"/>
      <c r="G100" s="35">
        <v>3.0127314814814817E-4</v>
      </c>
      <c r="H100" s="36"/>
      <c r="I100" s="35">
        <v>2.5636574074074071E-4</v>
      </c>
      <c r="J100" s="36"/>
      <c r="K100" s="35">
        <v>3.8229166666666668E-4</v>
      </c>
      <c r="L100" s="36"/>
    </row>
    <row r="101" spans="1:12" x14ac:dyDescent="0.2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4</v>
      </c>
      <c r="F101" s="14" cm="1">
        <f t="array" ref="F101">_xlfn.IFS(E101=4,1,E101=3,2,E101=2,3,E101=1,4,E100&lt;$D$100,"Too Fast",E100="DQ","DQ")</f>
        <v>1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3</v>
      </c>
      <c r="J101" s="14" cm="1">
        <f t="array" ref="J101">_xlfn.IFS(I101=4,1,I101=3,2,I101=2,3,I101=1,4,I100&lt;$D$100,"Too Fast",I100="DQ","DQ")</f>
        <v>2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</row>
    <row r="102" spans="1:12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>
        <v>4.4733796296296297E-4</v>
      </c>
      <c r="F102" s="36"/>
      <c r="G102" s="35">
        <v>4.5844907407407406E-4</v>
      </c>
      <c r="H102" s="36"/>
      <c r="I102" s="35">
        <v>4.8645833333333337E-4</v>
      </c>
      <c r="J102" s="36"/>
      <c r="K102" s="35">
        <v>3.9826388888888886E-4</v>
      </c>
      <c r="L102" s="36"/>
    </row>
    <row r="103" spans="1:12" x14ac:dyDescent="0.2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0</v>
      </c>
      <c r="L103" s="14" t="str" cm="1">
        <f t="array" ref="L103">_xlfn.IFS(K103=4,1,K103=3,2,K103=2,3,K103=1,4,K102&lt;$D$102,"Too Fast",K102="DQ","DQ")</f>
        <v>Too Fast</v>
      </c>
    </row>
    <row r="104" spans="1:12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>
        <v>4.3402777777777775E-4</v>
      </c>
      <c r="F104" s="36"/>
      <c r="G104" s="35">
        <v>4.9513888888888893E-4</v>
      </c>
      <c r="H104" s="36"/>
      <c r="I104" s="35">
        <v>5.4421296296296303E-4</v>
      </c>
      <c r="J104" s="36"/>
      <c r="K104" s="35">
        <v>6.3263888888888886E-4</v>
      </c>
      <c r="L104" s="36"/>
    </row>
    <row r="105" spans="1:12" x14ac:dyDescent="0.2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4</v>
      </c>
      <c r="F105" s="14" cm="1">
        <f t="array" ref="F105">_xlfn.IFS(E105=4,1,E105=3,2,E105=2,3,E105=1,4,E104&lt;$D$104,"Too Fast",E104="DQ","DQ")</f>
        <v>1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2</v>
      </c>
      <c r="J105" s="14" cm="1">
        <f t="array" ref="J105">_xlfn.IFS(I105=4,1,I105=3,2,I105=2,3,I105=1,4,I104&lt;$D$104,"Too Fast",I104="DQ","DQ")</f>
        <v>3</v>
      </c>
      <c r="K105" s="9">
        <f>IF(K104="DQ",0,IF(K104&lt;$D$104,0,1+COUNTIFS($E$104:$K$104,"DQ")+COUNTIFS($E$104:$K$104,"&lt;"&amp;$D$104)+COUNTIF($E$104:$K$104,"&gt;"&amp;K104)))</f>
        <v>1</v>
      </c>
      <c r="L105" s="14" cm="1">
        <f t="array" ref="L105">_xlfn.IFS(K105=4,1,K105=3,2,K105=2,3,K105=1,4,K104&lt;$D$104,"Too Fast",K104="DQ","DQ")</f>
        <v>4</v>
      </c>
    </row>
    <row r="106" spans="1:12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>
        <v>1.4409722222222222E-3</v>
      </c>
      <c r="F106" s="36"/>
      <c r="G106" s="35">
        <v>1.4570601851851852E-3</v>
      </c>
      <c r="H106" s="36"/>
      <c r="I106" s="35">
        <v>1.5533564814814815E-3</v>
      </c>
      <c r="J106" s="36"/>
      <c r="K106" s="35">
        <v>1.4619212962962962E-3</v>
      </c>
      <c r="L106" s="36"/>
    </row>
    <row r="107" spans="1:12" x14ac:dyDescent="0.2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1</v>
      </c>
      <c r="J107" s="14" cm="1">
        <f t="array" ref="J107">_xlfn.IFS(I107=4,1,I107=3,2,I107=2,3,I107=1,4,I106&lt;$D$106,"Too Fast",I106="DQ","DQ")</f>
        <v>4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>
        <v>1.4333333333333333E-3</v>
      </c>
      <c r="F108" s="36"/>
      <c r="G108" s="35">
        <v>1.5340277777777776E-3</v>
      </c>
      <c r="H108" s="36"/>
      <c r="I108" s="35">
        <v>1.5086805555555554E-3</v>
      </c>
      <c r="J108" s="36"/>
      <c r="K108" s="35">
        <v>1.5020833333333334E-3</v>
      </c>
      <c r="L108" s="36"/>
    </row>
    <row r="109" spans="1:12" x14ac:dyDescent="0.2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4</v>
      </c>
      <c r="F109" s="14" cm="1">
        <f t="array" ref="F109">_xlfn.IFS(E109=4,1,E109=3,2,E109=2,3,E109=1,4,E108&lt;$D$108,"Too Fast",E108="DQ","DQ")</f>
        <v>1</v>
      </c>
      <c r="G109" s="9">
        <f>IF(G108="DQ",0,IF(G108&lt;$D$108,0,1+COUNTIFS($E$108:$K$108,"DQ")+COUNTIFS($E$108:$K$108,"&lt;"&amp;$D$108)+COUNTIF($E$108:$K$108,"&gt;"&amp;G108)))</f>
        <v>1</v>
      </c>
      <c r="H109" s="14" cm="1">
        <f t="array" ref="H109">_xlfn.IFS(G109=4,1,G109=3,2,G109=2,3,G109=1,4,G108&lt;$D$108,"Too Fast",G108="DQ","DQ")</f>
        <v>4</v>
      </c>
      <c r="I109" s="9">
        <f>IF(I108="DQ",0,IF(I108&lt;$D$108,0,1+COUNTIFS($E$108:$K$108,"DQ")+COUNTIFS($E$108:$K$108,"&lt;"&amp;$D$108)+COUNTIF($E$108:$K$108,"&gt;"&amp;I108)))</f>
        <v>2</v>
      </c>
      <c r="J109" s="14" cm="1">
        <f t="array" ref="J109">_xlfn.IFS(I109=4,1,I109=3,2,I109=2,3,I109=1,4,I108&lt;$D$108,"Too Fast",I108="DQ","DQ")</f>
        <v>3</v>
      </c>
      <c r="K109" s="9">
        <f>IF(K108="DQ",0,IF(K108&lt;$D$108,0,1+COUNTIFS($E$108:$K$108,"DQ")+COUNTIFS($E$108:$K$108,"&lt;"&amp;$D$108)+COUNTIF($E$108:$K$108,"&gt;"&amp;K108)))</f>
        <v>3</v>
      </c>
      <c r="L109" s="14" cm="1">
        <f t="array" ref="L109">_xlfn.IFS(K109=4,1,K109=3,2,K109=2,3,K109=1,4,K108&lt;$D$108,"Too Fast",K108="DQ","DQ")</f>
        <v>2</v>
      </c>
    </row>
    <row r="110" spans="1:12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>
        <v>1.3668981481481481E-3</v>
      </c>
      <c r="F110" s="36"/>
      <c r="G110" s="35">
        <v>1.5387731481481481E-3</v>
      </c>
      <c r="H110" s="36"/>
      <c r="I110" s="35">
        <v>1.4464120370370371E-3</v>
      </c>
      <c r="J110" s="36"/>
      <c r="K110" s="35">
        <v>1.3952546296296295E-3</v>
      </c>
      <c r="L110" s="36"/>
    </row>
    <row r="111" spans="1:12" x14ac:dyDescent="0.2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4</v>
      </c>
      <c r="F111" s="14" cm="1">
        <f t="array" ref="F111">_xlfn.IFS(E111=4,1,E111=3,2,E111=2,3,E111=1,4,E110&lt;$D$110,"Too Fast",E110="DQ","DQ")</f>
        <v>1</v>
      </c>
      <c r="G111" s="9">
        <f>IF(G110="DQ",0,IF(G110&lt;$D$110,0,1+COUNTIFS($E$110:$K$110,"DQ")+COUNTIFS($E$110:$K$110,"&lt;"&amp;$D$110)+COUNTIF($E$110:$K$110,"&gt;"&amp;G110)))</f>
        <v>1</v>
      </c>
      <c r="H111" s="14" cm="1">
        <f t="array" ref="H111">_xlfn.IFS(G111=4,1,G111=3,2,G111=2,3,G111=1,4,G110&lt;$D$110,"Too Fast",G110="DQ","DQ")</f>
        <v>4</v>
      </c>
      <c r="I111" s="9">
        <f>IF(I110="DQ",0,IF(I110&lt;$D$110,0,1+COUNTIFS($E$110:$K$110,"DQ")+COUNTIFS($E$110:$K$110,"&lt;"&amp;$D$110)+COUNTIF($E$110:$K$110,"&gt;"&amp;I110)))</f>
        <v>2</v>
      </c>
      <c r="J111" s="14" cm="1">
        <f t="array" ref="J111">_xlfn.IFS(I111=4,1,I111=3,2,I111=2,3,I111=1,4,I110&lt;$D$110,"Too Fast",I110="DQ","DQ")</f>
        <v>3</v>
      </c>
      <c r="K111" s="9">
        <f>IF(K110="DQ",0,IF(K110&lt;$D$110,0,1+COUNTIFS($E$110:$K$110,"DQ")+COUNTIFS($E$110:$K$110,"&lt;"&amp;$D$110)+COUNTIF($E$110:$K$110,"&gt;"&amp;K110)))</f>
        <v>3</v>
      </c>
      <c r="L111" s="14" cm="1">
        <f t="array" ref="L111">_xlfn.IFS(K111=4,1,K111=3,2,K111=2,3,K111=1,4,K110&lt;$D$110,"Too Fast",K110="DQ","DQ")</f>
        <v>2</v>
      </c>
    </row>
    <row r="112" spans="1:12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>
        <v>1.2738425925925927E-3</v>
      </c>
      <c r="F112" s="36"/>
      <c r="G112" s="35">
        <v>1.4460648148148147E-3</v>
      </c>
      <c r="H112" s="36"/>
      <c r="I112" s="35">
        <v>1.282175925925926E-3</v>
      </c>
      <c r="J112" s="36"/>
      <c r="K112" s="35">
        <v>1.2687500000000001E-3</v>
      </c>
      <c r="L112" s="36"/>
    </row>
    <row r="113" spans="1:12" x14ac:dyDescent="0.2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3</v>
      </c>
      <c r="F113" s="14" cm="1">
        <f t="array" ref="F113">_xlfn.IFS(E113=4,1,E113=3,2,E113=2,3,E113=1,4,E112&lt;$D$112,"Too Fast",E112="DQ","DQ")</f>
        <v>2</v>
      </c>
      <c r="G113" s="9">
        <f>IF(G112="DQ",0,IF(G112&lt;$D$112,0,1+COUNTIFS($E$112:$K$112,"DQ")+COUNTIFS($E$112:$K$112,"&lt;"&amp;$D$112)+COUNTIF($E$112:$K$112,"&gt;"&amp;G112)))</f>
        <v>1</v>
      </c>
      <c r="H113" s="14" cm="1">
        <f t="array" ref="H113">_xlfn.IFS(G113=4,1,G113=3,2,G113=2,3,G113=1,4,G112&lt;$D$112,"Too Fast",G112="DQ","DQ")</f>
        <v>4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>
        <v>1.3613425925925926E-3</v>
      </c>
      <c r="F114" s="36"/>
      <c r="G114" s="35">
        <v>1.3924768518518518E-3</v>
      </c>
      <c r="H114" s="36"/>
      <c r="I114" s="35">
        <v>2.1875000000000002E-3</v>
      </c>
      <c r="J114" s="36"/>
      <c r="K114" s="35">
        <v>1.3754629629629631E-3</v>
      </c>
      <c r="L114" s="36"/>
    </row>
    <row r="115" spans="1:12" x14ac:dyDescent="0.2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4</v>
      </c>
      <c r="F115" s="14" cm="1">
        <f t="array" ref="F115">_xlfn.IFS(E115=4,1,E115=3,2,E115=2,3,E115=1,4,E114&lt;$D$114,"Too Fast",E114="DQ","DQ")</f>
        <v>1</v>
      </c>
      <c r="G115" s="9">
        <f>IF(G114="DQ",0,IF(G114&lt;$D$114,0,1+COUNTIFS($E$114:$K$114,"DQ")+COUNTIFS($E$114:$K$114,"&lt;"&amp;$D$114)+COUNTIF($E$114:$K$114,"&gt;"&amp;G114)))</f>
        <v>2</v>
      </c>
      <c r="H115" s="14" cm="1">
        <f t="array" ref="H115">_xlfn.IFS(G115=4,1,G115=3,2,G115=2,3,G115=1,4,G114&lt;$D$114,"Too Fast",G114="DQ","DQ")</f>
        <v>3</v>
      </c>
      <c r="I115" s="9">
        <f>IF(I114="DQ",0,IF(I114&lt;$D$114,0,1+COUNTIFS($E$114:$K$114,"DQ")+COUNTIFS($E$114:$K$114,"&lt;"&amp;$D$114)+COUNTIF($E$114:$K$114,"&gt;"&amp;I114)))</f>
        <v>1</v>
      </c>
      <c r="J115" s="14" cm="1">
        <f t="array" ref="J115">_xlfn.IFS(I115=4,1,I115=3,2,I115=2,3,I115=1,4,I114&lt;$D$114,"Too Fast",I114="DQ","DQ")</f>
        <v>4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</row>
    <row r="116" spans="1:12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146</v>
      </c>
      <c r="F116" s="19"/>
      <c r="G116" s="19">
        <f t="shared" ref="G116:K116" si="33">G89+G91+G93+G95+G97+G99+G101+G103+G105+G107+G109+G111+G113+G115</f>
        <v>102</v>
      </c>
      <c r="H116" s="19"/>
      <c r="I116" s="19">
        <f t="shared" si="33"/>
        <v>113</v>
      </c>
      <c r="J116" s="19"/>
      <c r="K116" s="19">
        <f t="shared" si="33"/>
        <v>144</v>
      </c>
      <c r="L116" s="18"/>
    </row>
  </sheetData>
  <mergeCells count="228"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hyperlinks>
    <hyperlink ref="G69" r:id="rId1" display="00@35.70" xr:uid="{6E97B0E3-97FE-4F78-9FF0-10D7A322A28E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14" width="10.140625" customWidth="1"/>
    <col min="15" max="16" width="3.42578125" customWidth="1"/>
    <col min="17" max="17" width="14.28515625" customWidth="1"/>
    <col min="18" max="18" width="24" customWidth="1"/>
    <col min="19" max="19" width="9.5703125" bestFit="1" customWidth="1"/>
    <col min="20" max="24" width="11.28515625" bestFit="1" customWidth="1"/>
    <col min="27" max="27" width="12" customWidth="1"/>
  </cols>
  <sheetData>
    <row r="1" spans="1:27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27" x14ac:dyDescent="0.25">
      <c r="Q2" s="28" t="s">
        <v>1</v>
      </c>
      <c r="R2" s="29"/>
      <c r="S2" s="29"/>
      <c r="T2" s="29"/>
      <c r="U2" s="29"/>
      <c r="V2" s="29"/>
      <c r="W2" s="29"/>
      <c r="X2" s="18"/>
      <c r="Y2" s="18"/>
      <c r="Z2" s="18"/>
      <c r="AA2" s="18"/>
    </row>
    <row r="3" spans="1:27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40" t="s">
        <v>82</v>
      </c>
      <c r="L3" s="40"/>
      <c r="M3" s="40" t="s">
        <v>84</v>
      </c>
      <c r="N3" s="40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25">
      <c r="A4" s="32"/>
      <c r="B4" s="32"/>
      <c r="C4" s="32"/>
      <c r="D4" s="32"/>
      <c r="E4" s="33" t="s">
        <v>9</v>
      </c>
      <c r="F4" s="34"/>
      <c r="G4" s="33" t="s">
        <v>9</v>
      </c>
      <c r="H4" s="34"/>
      <c r="I4" s="33" t="s">
        <v>9</v>
      </c>
      <c r="J4" s="34"/>
      <c r="K4" s="33" t="s">
        <v>9</v>
      </c>
      <c r="L4" s="34"/>
      <c r="M4" s="33" t="s">
        <v>9</v>
      </c>
      <c r="N4" s="34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40" t="s">
        <v>14</v>
      </c>
      <c r="L5" s="40"/>
      <c r="M5" s="40" t="s">
        <v>14</v>
      </c>
      <c r="N5" s="40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5"/>
      <c r="L6" s="36"/>
      <c r="M6" s="35"/>
      <c r="N6" s="36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2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  <c r="I8" s="35"/>
      <c r="J8" s="36"/>
      <c r="K8" s="35"/>
      <c r="L8" s="36"/>
      <c r="M8" s="35"/>
      <c r="N8" s="36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2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  <c r="I10" s="37"/>
      <c r="J10" s="37"/>
      <c r="K10" s="37"/>
      <c r="L10" s="37"/>
      <c r="M10" s="37"/>
      <c r="N10" s="37"/>
    </row>
    <row r="11" spans="1:27" x14ac:dyDescent="0.2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  <c r="I12" s="37"/>
      <c r="J12" s="37"/>
      <c r="K12" s="37"/>
      <c r="L12" s="37"/>
      <c r="M12" s="37"/>
      <c r="N12" s="37"/>
    </row>
    <row r="13" spans="1:27" x14ac:dyDescent="0.2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5"/>
      <c r="F14" s="36"/>
      <c r="G14" s="37"/>
      <c r="H14" s="37"/>
      <c r="I14" s="37"/>
      <c r="J14" s="37"/>
      <c r="K14" s="37"/>
      <c r="L14" s="37"/>
      <c r="M14" s="37"/>
      <c r="N14" s="37"/>
    </row>
    <row r="15" spans="1:27" x14ac:dyDescent="0.2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5"/>
      <c r="F16" s="36"/>
      <c r="G16" s="37"/>
      <c r="H16" s="37"/>
      <c r="I16" s="37"/>
      <c r="J16" s="37"/>
      <c r="K16" s="37"/>
      <c r="L16" s="37"/>
      <c r="M16" s="37"/>
      <c r="N16" s="37"/>
    </row>
    <row r="17" spans="1:14" x14ac:dyDescent="0.2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  <c r="I18" s="37"/>
      <c r="J18" s="37"/>
      <c r="K18" s="37"/>
      <c r="L18" s="37"/>
      <c r="M18" s="37"/>
      <c r="N18" s="37"/>
    </row>
    <row r="19" spans="1:14" x14ac:dyDescent="0.2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  <c r="I20" s="37"/>
      <c r="J20" s="37"/>
      <c r="K20" s="37"/>
      <c r="L20" s="37"/>
      <c r="M20" s="37"/>
      <c r="N20" s="37"/>
    </row>
    <row r="21" spans="1:14" x14ac:dyDescent="0.2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  <c r="I22" s="37"/>
      <c r="J22" s="37"/>
      <c r="K22" s="37"/>
      <c r="L22" s="37"/>
      <c r="M22" s="37"/>
      <c r="N22" s="37"/>
    </row>
    <row r="23" spans="1:14" x14ac:dyDescent="0.2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  <c r="I24" s="37"/>
      <c r="J24" s="37"/>
      <c r="K24" s="37"/>
      <c r="L24" s="37"/>
      <c r="M24" s="37"/>
      <c r="N24" s="37"/>
    </row>
    <row r="25" spans="1:14" x14ac:dyDescent="0.2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4" x14ac:dyDescent="0.2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1:14" x14ac:dyDescent="0.2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5"/>
      <c r="H31" s="36"/>
      <c r="I31" s="35"/>
      <c r="J31" s="36"/>
      <c r="K31" s="35"/>
      <c r="L31" s="36"/>
      <c r="M31" s="35"/>
      <c r="N31" s="36"/>
    </row>
    <row r="32" spans="1:14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1:24" x14ac:dyDescent="0.2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24" x14ac:dyDescent="0.2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</row>
    <row r="38" spans="1:24" x14ac:dyDescent="0.2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</row>
    <row r="40" spans="1:24" x14ac:dyDescent="0.2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T41" s="23"/>
    </row>
    <row r="42" spans="1:24" x14ac:dyDescent="0.2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S43" s="24"/>
    </row>
    <row r="44" spans="1:24" x14ac:dyDescent="0.2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S45" s="24"/>
    </row>
    <row r="46" spans="1:24" x14ac:dyDescent="0.2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S48" s="24"/>
    </row>
    <row r="49" spans="1:19" x14ac:dyDescent="0.2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S50" s="24"/>
    </row>
    <row r="51" spans="1:19" x14ac:dyDescent="0.2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S52" s="24"/>
    </row>
    <row r="53" spans="1:19" x14ac:dyDescent="0.2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S54" s="24"/>
    </row>
    <row r="55" spans="1:19" x14ac:dyDescent="0.2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S56" s="24"/>
    </row>
    <row r="57" spans="1:19" x14ac:dyDescent="0.2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S58" s="24"/>
    </row>
    <row r="59" spans="1:19" x14ac:dyDescent="0.2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S60" s="24"/>
    </row>
    <row r="61" spans="1:19" x14ac:dyDescent="0.2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S62" s="24"/>
    </row>
    <row r="63" spans="1:19" x14ac:dyDescent="0.2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S64" s="24"/>
    </row>
    <row r="65" spans="1:19" x14ac:dyDescent="0.2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S66" s="24"/>
    </row>
    <row r="67" spans="1:19" x14ac:dyDescent="0.2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  <c r="I69" s="35"/>
      <c r="J69" s="36"/>
      <c r="K69" s="35"/>
      <c r="L69" s="36"/>
      <c r="M69" s="35"/>
      <c r="N69" s="36"/>
      <c r="S69" s="24"/>
    </row>
    <row r="70" spans="1:19" x14ac:dyDescent="0.2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  <c r="I71" s="35"/>
      <c r="J71" s="36"/>
      <c r="K71" s="35"/>
      <c r="L71" s="36"/>
      <c r="M71" s="35"/>
      <c r="N71" s="36"/>
      <c r="S71" s="24"/>
    </row>
    <row r="72" spans="1:19" x14ac:dyDescent="0.2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  <c r="I73" s="35"/>
      <c r="J73" s="36"/>
      <c r="K73" s="35"/>
      <c r="L73" s="36"/>
      <c r="M73" s="35"/>
      <c r="N73" s="36"/>
    </row>
    <row r="74" spans="1:19" x14ac:dyDescent="0.2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  <c r="I75" s="35"/>
      <c r="J75" s="36"/>
      <c r="K75" s="35"/>
      <c r="L75" s="36"/>
      <c r="M75" s="35"/>
      <c r="N75" s="36"/>
    </row>
    <row r="76" spans="1:19" x14ac:dyDescent="0.2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  <c r="I77" s="35"/>
      <c r="J77" s="36"/>
      <c r="K77" s="35"/>
      <c r="L77" s="36"/>
      <c r="M77" s="35"/>
      <c r="N77" s="36"/>
    </row>
    <row r="78" spans="1:19" x14ac:dyDescent="0.2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  <c r="I79" s="35"/>
      <c r="J79" s="36"/>
      <c r="K79" s="35"/>
      <c r="L79" s="36"/>
      <c r="M79" s="35"/>
      <c r="N79" s="36"/>
    </row>
    <row r="80" spans="1:19" x14ac:dyDescent="0.2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  <c r="I81" s="35"/>
      <c r="J81" s="36"/>
      <c r="K81" s="35"/>
      <c r="L81" s="36"/>
      <c r="M81" s="35"/>
      <c r="N81" s="36"/>
    </row>
    <row r="82" spans="1:14" x14ac:dyDescent="0.2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  <c r="I83" s="35"/>
      <c r="J83" s="36"/>
      <c r="K83" s="35"/>
      <c r="L83" s="36"/>
      <c r="M83" s="35"/>
      <c r="N83" s="36"/>
    </row>
    <row r="84" spans="1:14" x14ac:dyDescent="0.2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  <c r="I85" s="35"/>
      <c r="J85" s="36"/>
      <c r="K85" s="35"/>
      <c r="L85" s="36"/>
      <c r="M85" s="35"/>
      <c r="N85" s="36"/>
    </row>
    <row r="86" spans="1:14" x14ac:dyDescent="0.2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  <c r="I87" s="35"/>
      <c r="J87" s="36"/>
      <c r="K87" s="35"/>
      <c r="L87" s="36"/>
      <c r="M87" s="35"/>
      <c r="N87" s="36"/>
    </row>
    <row r="88" spans="1:14" x14ac:dyDescent="0.2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  <c r="I90" s="35"/>
      <c r="J90" s="36"/>
      <c r="K90" s="35"/>
      <c r="L90" s="36"/>
      <c r="M90" s="35"/>
      <c r="N90" s="36"/>
    </row>
    <row r="91" spans="1:14" x14ac:dyDescent="0.2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  <c r="I92" s="35"/>
      <c r="J92" s="36"/>
      <c r="K92" s="35"/>
      <c r="L92" s="36"/>
      <c r="M92" s="35"/>
      <c r="N92" s="36"/>
    </row>
    <row r="93" spans="1:14" x14ac:dyDescent="0.2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  <c r="I94" s="35"/>
      <c r="J94" s="36"/>
      <c r="K94" s="35"/>
      <c r="L94" s="36"/>
      <c r="M94" s="35"/>
      <c r="N94" s="36"/>
    </row>
    <row r="95" spans="1:14" x14ac:dyDescent="0.2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  <c r="I96" s="35"/>
      <c r="J96" s="36"/>
      <c r="K96" s="35"/>
      <c r="L96" s="36"/>
      <c r="M96" s="35"/>
      <c r="N96" s="36"/>
    </row>
    <row r="97" spans="1:14" x14ac:dyDescent="0.2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/>
      <c r="F98" s="36"/>
      <c r="G98" s="35"/>
      <c r="H98" s="36"/>
      <c r="I98" s="35"/>
      <c r="J98" s="36"/>
      <c r="K98" s="35"/>
      <c r="L98" s="36"/>
      <c r="M98" s="35"/>
      <c r="N98" s="36"/>
    </row>
    <row r="99" spans="1:14" x14ac:dyDescent="0.2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/>
      <c r="F100" s="36"/>
      <c r="G100" s="35"/>
      <c r="H100" s="36"/>
      <c r="I100" s="35"/>
      <c r="J100" s="36"/>
      <c r="K100" s="35"/>
      <c r="L100" s="36"/>
      <c r="M100" s="35"/>
      <c r="N100" s="36"/>
    </row>
    <row r="101" spans="1:14" x14ac:dyDescent="0.2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  <c r="I102" s="35"/>
      <c r="J102" s="36"/>
      <c r="K102" s="35"/>
      <c r="L102" s="36"/>
      <c r="M102" s="35"/>
      <c r="N102" s="36"/>
    </row>
    <row r="103" spans="1:14" x14ac:dyDescent="0.2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  <c r="I104" s="35"/>
      <c r="J104" s="36"/>
      <c r="K104" s="35"/>
      <c r="L104" s="36"/>
      <c r="M104" s="35"/>
      <c r="N104" s="36"/>
    </row>
    <row r="105" spans="1:14" x14ac:dyDescent="0.2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36"/>
    </row>
    <row r="107" spans="1:14" x14ac:dyDescent="0.2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  <c r="I108" s="35"/>
      <c r="J108" s="36"/>
      <c r="K108" s="35"/>
      <c r="L108" s="36"/>
      <c r="M108" s="35"/>
      <c r="N108" s="36"/>
    </row>
    <row r="109" spans="1:14" x14ac:dyDescent="0.2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  <c r="I110" s="35"/>
      <c r="J110" s="36"/>
      <c r="K110" s="35"/>
      <c r="L110" s="36"/>
      <c r="M110" s="35"/>
      <c r="N110" s="36"/>
    </row>
    <row r="111" spans="1:14" x14ac:dyDescent="0.2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  <c r="I112" s="35"/>
      <c r="J112" s="36"/>
      <c r="K112" s="35"/>
      <c r="L112" s="36"/>
      <c r="M112" s="35"/>
      <c r="N112" s="36"/>
    </row>
    <row r="113" spans="1:14" x14ac:dyDescent="0.2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  <c r="I114" s="35"/>
      <c r="J114" s="36"/>
      <c r="K114" s="35"/>
      <c r="L114" s="36"/>
      <c r="M114" s="35"/>
      <c r="N114" s="36"/>
    </row>
    <row r="115" spans="1:14" x14ac:dyDescent="0.2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16" width="10.140625" customWidth="1"/>
    <col min="17" max="18" width="3.42578125" customWidth="1"/>
    <col min="19" max="19" width="14.28515625" customWidth="1"/>
    <col min="20" max="20" width="24" customWidth="1"/>
    <col min="21" max="21" width="9.5703125" bestFit="1" customWidth="1"/>
    <col min="22" max="27" width="10.7109375" bestFit="1" customWidth="1"/>
    <col min="30" max="30" width="11.5703125" customWidth="1"/>
  </cols>
  <sheetData>
    <row r="1" spans="1:30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0" x14ac:dyDescent="0.25">
      <c r="S2" s="28" t="s">
        <v>1</v>
      </c>
      <c r="T2" s="29"/>
      <c r="U2" s="29"/>
      <c r="V2" s="29"/>
      <c r="W2" s="29"/>
      <c r="X2" s="29"/>
      <c r="Y2" s="29"/>
      <c r="Z2" s="29"/>
      <c r="AA2" s="2"/>
      <c r="AB2" s="2"/>
      <c r="AC2" s="2"/>
      <c r="AD2" s="18"/>
    </row>
    <row r="3" spans="1:30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40" t="s">
        <v>82</v>
      </c>
      <c r="L3" s="40"/>
      <c r="M3" s="40" t="s">
        <v>84</v>
      </c>
      <c r="N3" s="40"/>
      <c r="O3" s="40" t="s">
        <v>86</v>
      </c>
      <c r="P3" s="40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25">
      <c r="A4" s="32"/>
      <c r="B4" s="32"/>
      <c r="C4" s="32"/>
      <c r="D4" s="32"/>
      <c r="E4" s="38" t="s">
        <v>9</v>
      </c>
      <c r="F4" s="39"/>
      <c r="G4" s="38" t="s">
        <v>9</v>
      </c>
      <c r="H4" s="39"/>
      <c r="I4" s="38" t="s">
        <v>9</v>
      </c>
      <c r="J4" s="39"/>
      <c r="K4" s="38" t="s">
        <v>9</v>
      </c>
      <c r="L4" s="39"/>
      <c r="M4" s="38" t="s">
        <v>9</v>
      </c>
      <c r="N4" s="39"/>
      <c r="O4" s="38" t="s">
        <v>9</v>
      </c>
      <c r="P4" s="39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40" t="s">
        <v>14</v>
      </c>
      <c r="L5" s="40"/>
      <c r="M5" s="40" t="s">
        <v>14</v>
      </c>
      <c r="N5" s="40"/>
      <c r="O5" s="40" t="s">
        <v>14</v>
      </c>
      <c r="P5" s="40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5"/>
      <c r="L6" s="36"/>
      <c r="M6" s="35"/>
      <c r="N6" s="36"/>
      <c r="O6" s="35"/>
      <c r="P6" s="36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2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  <c r="I8" s="35"/>
      <c r="J8" s="36"/>
      <c r="K8" s="35"/>
      <c r="L8" s="36"/>
      <c r="M8" s="35"/>
      <c r="N8" s="36"/>
      <c r="O8" s="35"/>
      <c r="P8" s="36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2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30" x14ac:dyDescent="0.2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</row>
    <row r="13" spans="1:30" x14ac:dyDescent="0.2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5"/>
      <c r="F14" s="36"/>
      <c r="G14" s="37"/>
      <c r="H14" s="37"/>
      <c r="I14" s="37"/>
      <c r="J14" s="37"/>
      <c r="K14" s="37"/>
      <c r="L14" s="37"/>
      <c r="M14" s="37"/>
      <c r="N14" s="37"/>
      <c r="O14" s="37"/>
      <c r="P14" s="37"/>
    </row>
    <row r="15" spans="1:30" x14ac:dyDescent="0.2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5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 spans="1:16" x14ac:dyDescent="0.2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  <c r="I18" s="37"/>
      <c r="J18" s="37"/>
      <c r="K18" s="37"/>
      <c r="L18" s="37"/>
      <c r="M18" s="37"/>
      <c r="N18" s="37"/>
      <c r="O18" s="37"/>
      <c r="P18" s="37"/>
    </row>
    <row r="19" spans="1:16" x14ac:dyDescent="0.2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</row>
    <row r="21" spans="1:16" x14ac:dyDescent="0.2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spans="1:16" x14ac:dyDescent="0.2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6" x14ac:dyDescent="0.2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</row>
    <row r="28" spans="1:16" x14ac:dyDescent="0.2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2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5"/>
      <c r="H31" s="36"/>
      <c r="I31" s="35"/>
      <c r="J31" s="36"/>
      <c r="K31" s="35"/>
      <c r="L31" s="36"/>
      <c r="M31" s="35"/>
      <c r="N31" s="36"/>
      <c r="O31" s="35"/>
      <c r="P31" s="36"/>
    </row>
    <row r="32" spans="1:16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</row>
    <row r="34" spans="1:27" x14ac:dyDescent="0.2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</row>
    <row r="36" spans="1:27" x14ac:dyDescent="0.2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spans="1:27" x14ac:dyDescent="0.2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</row>
    <row r="40" spans="1:27" x14ac:dyDescent="0.2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</row>
    <row r="42" spans="1:27" x14ac:dyDescent="0.2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V43" s="23"/>
    </row>
    <row r="44" spans="1:27" x14ac:dyDescent="0.2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U45" s="24"/>
    </row>
    <row r="46" spans="1:27" x14ac:dyDescent="0.2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U48" s="24"/>
    </row>
    <row r="49" spans="1:21" x14ac:dyDescent="0.2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U50" s="24"/>
    </row>
    <row r="51" spans="1:21" x14ac:dyDescent="0.2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U52" s="24"/>
    </row>
    <row r="53" spans="1:21" x14ac:dyDescent="0.2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U54" s="24"/>
    </row>
    <row r="55" spans="1:21" x14ac:dyDescent="0.2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U56" s="24"/>
    </row>
    <row r="57" spans="1:21" x14ac:dyDescent="0.2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U58" s="24"/>
    </row>
    <row r="59" spans="1:21" x14ac:dyDescent="0.2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U60" s="24"/>
    </row>
    <row r="61" spans="1:21" x14ac:dyDescent="0.2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U62" s="24"/>
    </row>
    <row r="63" spans="1:21" x14ac:dyDescent="0.2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U64" s="24"/>
    </row>
    <row r="65" spans="1:21" x14ac:dyDescent="0.2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U66" s="24"/>
    </row>
    <row r="67" spans="1:21" x14ac:dyDescent="0.2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  <c r="I69" s="35"/>
      <c r="J69" s="36"/>
      <c r="K69" s="35"/>
      <c r="L69" s="36"/>
      <c r="M69" s="35"/>
      <c r="N69" s="36"/>
      <c r="O69" s="35"/>
      <c r="P69" s="36"/>
      <c r="U69" s="24"/>
    </row>
    <row r="70" spans="1:21" x14ac:dyDescent="0.2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  <c r="I71" s="35"/>
      <c r="J71" s="36"/>
      <c r="K71" s="35"/>
      <c r="L71" s="36"/>
      <c r="M71" s="35"/>
      <c r="N71" s="36"/>
      <c r="O71" s="35"/>
      <c r="P71" s="36"/>
      <c r="U71" s="24"/>
    </row>
    <row r="72" spans="1:21" x14ac:dyDescent="0.2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  <c r="I73" s="35"/>
      <c r="J73" s="36"/>
      <c r="K73" s="35"/>
      <c r="L73" s="36"/>
      <c r="M73" s="35"/>
      <c r="N73" s="36"/>
      <c r="O73" s="35"/>
      <c r="P73" s="36"/>
      <c r="U73" s="24"/>
    </row>
    <row r="74" spans="1:21" x14ac:dyDescent="0.2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  <c r="I75" s="35"/>
      <c r="J75" s="36"/>
      <c r="K75" s="35"/>
      <c r="L75" s="36"/>
      <c r="M75" s="35"/>
      <c r="N75" s="36"/>
      <c r="O75" s="35"/>
      <c r="P75" s="36"/>
    </row>
    <row r="76" spans="1:21" x14ac:dyDescent="0.2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  <c r="I77" s="35"/>
      <c r="J77" s="36"/>
      <c r="K77" s="35"/>
      <c r="L77" s="36"/>
      <c r="M77" s="35"/>
      <c r="N77" s="36"/>
      <c r="O77" s="35"/>
      <c r="P77" s="36"/>
    </row>
    <row r="78" spans="1:21" x14ac:dyDescent="0.2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  <c r="I79" s="35"/>
      <c r="J79" s="36"/>
      <c r="K79" s="35"/>
      <c r="L79" s="36"/>
      <c r="M79" s="35"/>
      <c r="N79" s="36"/>
      <c r="O79" s="35"/>
      <c r="P79" s="36"/>
    </row>
    <row r="80" spans="1:21" x14ac:dyDescent="0.2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  <c r="I81" s="35"/>
      <c r="J81" s="36"/>
      <c r="K81" s="35"/>
      <c r="L81" s="36"/>
      <c r="M81" s="35"/>
      <c r="N81" s="36"/>
      <c r="O81" s="35"/>
      <c r="P81" s="36"/>
    </row>
    <row r="82" spans="1:16" x14ac:dyDescent="0.2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  <c r="I83" s="35"/>
      <c r="J83" s="36"/>
      <c r="K83" s="35"/>
      <c r="L83" s="36"/>
      <c r="M83" s="35"/>
      <c r="N83" s="36"/>
      <c r="O83" s="35"/>
      <c r="P83" s="36"/>
    </row>
    <row r="84" spans="1:16" x14ac:dyDescent="0.2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  <c r="I85" s="35"/>
      <c r="J85" s="36"/>
      <c r="K85" s="35"/>
      <c r="L85" s="36"/>
      <c r="M85" s="35"/>
      <c r="N85" s="36"/>
      <c r="O85" s="35"/>
      <c r="P85" s="36"/>
    </row>
    <row r="86" spans="1:16" x14ac:dyDescent="0.2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  <c r="I87" s="35"/>
      <c r="J87" s="36"/>
      <c r="K87" s="35"/>
      <c r="L87" s="36"/>
      <c r="M87" s="35"/>
      <c r="N87" s="36"/>
      <c r="O87" s="35"/>
      <c r="P87" s="36"/>
    </row>
    <row r="88" spans="1:16" x14ac:dyDescent="0.2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  <c r="I90" s="35"/>
      <c r="J90" s="36"/>
      <c r="K90" s="35"/>
      <c r="L90" s="36"/>
      <c r="M90" s="35"/>
      <c r="N90" s="36"/>
      <c r="O90" s="35"/>
      <c r="P90" s="36"/>
    </row>
    <row r="91" spans="1:16" x14ac:dyDescent="0.2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  <c r="I92" s="35"/>
      <c r="J92" s="36"/>
      <c r="K92" s="35"/>
      <c r="L92" s="36"/>
      <c r="M92" s="35"/>
      <c r="N92" s="36"/>
      <c r="O92" s="35"/>
      <c r="P92" s="36"/>
    </row>
    <row r="93" spans="1:16" x14ac:dyDescent="0.2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  <c r="I94" s="35"/>
      <c r="J94" s="36"/>
      <c r="K94" s="35"/>
      <c r="L94" s="36"/>
      <c r="M94" s="35"/>
      <c r="N94" s="36"/>
      <c r="O94" s="35"/>
      <c r="P94" s="36"/>
    </row>
    <row r="95" spans="1:16" x14ac:dyDescent="0.2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  <c r="I96" s="35"/>
      <c r="J96" s="36"/>
      <c r="K96" s="35"/>
      <c r="L96" s="36"/>
      <c r="M96" s="35"/>
      <c r="N96" s="36"/>
      <c r="O96" s="35"/>
      <c r="P96" s="36"/>
    </row>
    <row r="97" spans="1:16" x14ac:dyDescent="0.2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/>
      <c r="F98" s="36"/>
      <c r="G98" s="35"/>
      <c r="H98" s="36"/>
      <c r="I98" s="35"/>
      <c r="J98" s="36"/>
      <c r="K98" s="35"/>
      <c r="L98" s="36"/>
      <c r="M98" s="35"/>
      <c r="N98" s="36"/>
      <c r="O98" s="35"/>
      <c r="P98" s="36"/>
    </row>
    <row r="99" spans="1:16" x14ac:dyDescent="0.2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/>
      <c r="F100" s="36"/>
      <c r="G100" s="35"/>
      <c r="H100" s="36"/>
      <c r="I100" s="35"/>
      <c r="J100" s="36"/>
      <c r="K100" s="35"/>
      <c r="L100" s="36"/>
      <c r="M100" s="35"/>
      <c r="N100" s="36"/>
      <c r="O100" s="35"/>
      <c r="P100" s="36"/>
    </row>
    <row r="101" spans="1:16" x14ac:dyDescent="0.2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  <c r="I102" s="35"/>
      <c r="J102" s="36"/>
      <c r="K102" s="35"/>
      <c r="L102" s="36"/>
      <c r="M102" s="35"/>
      <c r="N102" s="36"/>
      <c r="O102" s="35"/>
      <c r="P102" s="36"/>
    </row>
    <row r="103" spans="1:16" x14ac:dyDescent="0.2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  <c r="I104" s="35"/>
      <c r="J104" s="36"/>
      <c r="K104" s="35"/>
      <c r="L104" s="36"/>
      <c r="M104" s="35"/>
      <c r="N104" s="36"/>
      <c r="O104" s="35"/>
      <c r="P104" s="36"/>
    </row>
    <row r="105" spans="1:16" x14ac:dyDescent="0.2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36"/>
      <c r="O106" s="35"/>
      <c r="P106" s="36"/>
    </row>
    <row r="107" spans="1:16" x14ac:dyDescent="0.2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  <c r="I108" s="35"/>
      <c r="J108" s="36"/>
      <c r="K108" s="35"/>
      <c r="L108" s="36"/>
      <c r="M108" s="35"/>
      <c r="N108" s="36"/>
      <c r="O108" s="35"/>
      <c r="P108" s="36"/>
    </row>
    <row r="109" spans="1:16" x14ac:dyDescent="0.2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  <c r="I110" s="35"/>
      <c r="J110" s="36"/>
      <c r="K110" s="35"/>
      <c r="L110" s="36"/>
      <c r="M110" s="35"/>
      <c r="N110" s="36"/>
      <c r="O110" s="35"/>
      <c r="P110" s="36"/>
    </row>
    <row r="111" spans="1:16" x14ac:dyDescent="0.2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  <c r="I112" s="35"/>
      <c r="J112" s="36"/>
      <c r="K112" s="35"/>
      <c r="L112" s="36"/>
      <c r="M112" s="35"/>
      <c r="N112" s="36"/>
      <c r="O112" s="35"/>
      <c r="P112" s="36"/>
    </row>
    <row r="113" spans="1:16" x14ac:dyDescent="0.2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  <c r="I114" s="35"/>
      <c r="J114" s="36"/>
      <c r="K114" s="35"/>
      <c r="L114" s="36"/>
      <c r="M114" s="35"/>
      <c r="N114" s="36"/>
      <c r="O114" s="35"/>
      <c r="P114" s="36"/>
    </row>
    <row r="115" spans="1:16" x14ac:dyDescent="0.2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18" width="10.140625" customWidth="1"/>
    <col min="19" max="20" width="3.42578125" customWidth="1"/>
    <col min="21" max="21" width="14.28515625" customWidth="1"/>
    <col min="22" max="22" width="24" customWidth="1"/>
    <col min="23" max="23" width="9.5703125" bestFit="1" customWidth="1"/>
    <col min="24" max="24" width="10.42578125" bestFit="1" customWidth="1"/>
    <col min="25" max="31" width="10.7109375" bestFit="1" customWidth="1"/>
    <col min="33" max="33" width="12.28515625" customWidth="1"/>
  </cols>
  <sheetData>
    <row r="1" spans="1:33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3" x14ac:dyDescent="0.25">
      <c r="U2" s="40" t="s">
        <v>1</v>
      </c>
      <c r="V2" s="40"/>
      <c r="W2" s="40"/>
      <c r="X2" s="40"/>
      <c r="Y2" s="40"/>
      <c r="Z2" s="40"/>
      <c r="AA2" s="40"/>
      <c r="AB2" s="40"/>
      <c r="AC2" s="40"/>
      <c r="AD2" s="40"/>
      <c r="AE2" s="18"/>
      <c r="AF2" s="18"/>
      <c r="AG2" s="2"/>
    </row>
    <row r="3" spans="1:33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40" t="s">
        <v>82</v>
      </c>
      <c r="L3" s="40"/>
      <c r="M3" s="40" t="s">
        <v>84</v>
      </c>
      <c r="N3" s="40"/>
      <c r="O3" s="40" t="s">
        <v>86</v>
      </c>
      <c r="P3" s="40"/>
      <c r="Q3" s="40" t="s">
        <v>88</v>
      </c>
      <c r="R3" s="40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25">
      <c r="A4" s="32"/>
      <c r="B4" s="32"/>
      <c r="C4" s="32"/>
      <c r="D4" s="32"/>
      <c r="E4" s="33" t="s">
        <v>9</v>
      </c>
      <c r="F4" s="34"/>
      <c r="G4" s="33" t="s">
        <v>9</v>
      </c>
      <c r="H4" s="34"/>
      <c r="I4" s="33" t="s">
        <v>9</v>
      </c>
      <c r="J4" s="34"/>
      <c r="K4" s="33" t="s">
        <v>9</v>
      </c>
      <c r="L4" s="34"/>
      <c r="M4" s="33" t="s">
        <v>9</v>
      </c>
      <c r="N4" s="34"/>
      <c r="O4" s="33" t="s">
        <v>9</v>
      </c>
      <c r="P4" s="34"/>
      <c r="Q4" s="33" t="s">
        <v>9</v>
      </c>
      <c r="R4" s="34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40" t="s">
        <v>14</v>
      </c>
      <c r="L5" s="40"/>
      <c r="M5" s="40" t="s">
        <v>14</v>
      </c>
      <c r="N5" s="40"/>
      <c r="O5" s="40" t="s">
        <v>14</v>
      </c>
      <c r="P5" s="40"/>
      <c r="Q5" s="40" t="s">
        <v>14</v>
      </c>
      <c r="R5" s="40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7"/>
      <c r="F6" s="37"/>
      <c r="G6" s="37"/>
      <c r="H6" s="37"/>
      <c r="I6" s="37"/>
      <c r="J6" s="37"/>
      <c r="K6" s="35"/>
      <c r="L6" s="36"/>
      <c r="M6" s="35"/>
      <c r="N6" s="36"/>
      <c r="O6" s="35"/>
      <c r="P6" s="36"/>
      <c r="Q6" s="35"/>
      <c r="R6" s="36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  <c r="I8" s="35"/>
      <c r="J8" s="36"/>
      <c r="K8" s="35"/>
      <c r="L8" s="36"/>
      <c r="M8" s="35"/>
      <c r="N8" s="36"/>
      <c r="O8" s="35"/>
      <c r="P8" s="36"/>
      <c r="Q8" s="35"/>
      <c r="R8" s="36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33" x14ac:dyDescent="0.2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25">
      <c r="A14" s="5">
        <v>5</v>
      </c>
      <c r="B14" s="10" t="s">
        <v>21</v>
      </c>
      <c r="C14" s="2" t="s">
        <v>22</v>
      </c>
      <c r="D14" s="16">
        <v>1.7106481481481478E-4</v>
      </c>
      <c r="E14" s="35"/>
      <c r="F14" s="3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</row>
    <row r="15" spans="1:33" x14ac:dyDescent="0.2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25">
      <c r="A16" s="5">
        <v>6</v>
      </c>
      <c r="B16" s="10" t="s">
        <v>23</v>
      </c>
      <c r="C16" s="2" t="s">
        <v>22</v>
      </c>
      <c r="D16" s="16">
        <v>1.7141203703703706E-4</v>
      </c>
      <c r="E16" s="35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</row>
    <row r="17" spans="1:18" x14ac:dyDescent="0.2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</row>
    <row r="19" spans="1:18" x14ac:dyDescent="0.2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</row>
    <row r="21" spans="1:18" x14ac:dyDescent="0.2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</row>
    <row r="23" spans="1:18" x14ac:dyDescent="0.2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</row>
    <row r="25" spans="1:18" x14ac:dyDescent="0.2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</row>
    <row r="28" spans="1:18" x14ac:dyDescent="0.2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x14ac:dyDescent="0.2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5"/>
      <c r="H31" s="36"/>
      <c r="I31" s="35"/>
      <c r="J31" s="36"/>
      <c r="K31" s="35"/>
      <c r="L31" s="36"/>
      <c r="M31" s="35"/>
      <c r="N31" s="36"/>
      <c r="O31" s="35"/>
      <c r="P31" s="36"/>
      <c r="Q31" s="35"/>
      <c r="R31" s="36"/>
    </row>
    <row r="32" spans="1:18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spans="1:31" x14ac:dyDescent="0.2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spans="1:31" x14ac:dyDescent="0.2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31" x14ac:dyDescent="0.2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  <row r="40" spans="1:31" x14ac:dyDescent="0.2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</row>
    <row r="42" spans="1:31" x14ac:dyDescent="0.2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Y43" s="23"/>
      <c r="Z43" s="23"/>
      <c r="AA43" s="23"/>
      <c r="AB43" s="23"/>
      <c r="AC43" s="23"/>
      <c r="AD43" s="23"/>
      <c r="AE43" s="23"/>
    </row>
    <row r="44" spans="1:31" x14ac:dyDescent="0.2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X45" s="24"/>
    </row>
    <row r="46" spans="1:31" x14ac:dyDescent="0.2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25">
      <c r="A48" s="5">
        <v>21</v>
      </c>
      <c r="B48" s="10" t="s">
        <v>41</v>
      </c>
      <c r="C48" s="2" t="s">
        <v>22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X48" s="24"/>
    </row>
    <row r="49" spans="1:24" x14ac:dyDescent="0.2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25">
      <c r="A50" s="5">
        <v>22</v>
      </c>
      <c r="B50" s="10" t="s">
        <v>42</v>
      </c>
      <c r="C50" s="2" t="s">
        <v>22</v>
      </c>
      <c r="D50" s="16">
        <v>1.8969907407407409E-4</v>
      </c>
      <c r="E50" s="35"/>
      <c r="F50" s="36"/>
      <c r="G50" s="35"/>
      <c r="H50" s="36"/>
      <c r="I50" s="35"/>
      <c r="J50" s="36"/>
      <c r="K50" s="35"/>
      <c r="L50" s="36"/>
      <c r="M50" s="35"/>
      <c r="N50" s="36"/>
      <c r="O50" s="35"/>
      <c r="P50" s="36"/>
      <c r="Q50" s="35"/>
      <c r="R50" s="36"/>
      <c r="X50" s="24"/>
    </row>
    <row r="51" spans="1:24" x14ac:dyDescent="0.2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5"/>
      <c r="F52" s="36"/>
      <c r="G52" s="35"/>
      <c r="H52" s="36"/>
      <c r="I52" s="35"/>
      <c r="J52" s="36"/>
      <c r="K52" s="35"/>
      <c r="L52" s="36"/>
      <c r="M52" s="35"/>
      <c r="N52" s="36"/>
      <c r="O52" s="35"/>
      <c r="P52" s="36"/>
      <c r="Q52" s="35"/>
      <c r="R52" s="36"/>
      <c r="X52" s="24"/>
    </row>
    <row r="53" spans="1:24" x14ac:dyDescent="0.2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5"/>
      <c r="F54" s="36"/>
      <c r="G54" s="35"/>
      <c r="H54" s="36"/>
      <c r="I54" s="35"/>
      <c r="J54" s="36"/>
      <c r="K54" s="35"/>
      <c r="L54" s="36"/>
      <c r="M54" s="35"/>
      <c r="N54" s="36"/>
      <c r="O54" s="35"/>
      <c r="P54" s="36"/>
      <c r="Q54" s="35"/>
      <c r="R54" s="36"/>
      <c r="X54" s="24"/>
    </row>
    <row r="55" spans="1:24" x14ac:dyDescent="0.2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5"/>
      <c r="F56" s="36"/>
      <c r="G56" s="35"/>
      <c r="H56" s="36"/>
      <c r="I56" s="35"/>
      <c r="J56" s="36"/>
      <c r="K56" s="35"/>
      <c r="L56" s="36"/>
      <c r="M56" s="35"/>
      <c r="N56" s="36"/>
      <c r="O56" s="35"/>
      <c r="P56" s="36"/>
      <c r="Q56" s="35"/>
      <c r="R56" s="36"/>
      <c r="X56" s="24"/>
    </row>
    <row r="57" spans="1:24" x14ac:dyDescent="0.2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5"/>
      <c r="F58" s="36"/>
      <c r="G58" s="35"/>
      <c r="H58" s="36"/>
      <c r="I58" s="35"/>
      <c r="J58" s="36"/>
      <c r="K58" s="35"/>
      <c r="L58" s="36"/>
      <c r="M58" s="35"/>
      <c r="N58" s="36"/>
      <c r="O58" s="35"/>
      <c r="P58" s="36"/>
      <c r="Q58" s="35"/>
      <c r="R58" s="36"/>
      <c r="X58" s="24"/>
    </row>
    <row r="59" spans="1:24" x14ac:dyDescent="0.2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5"/>
      <c r="F60" s="36"/>
      <c r="G60" s="35"/>
      <c r="H60" s="36"/>
      <c r="I60" s="35"/>
      <c r="J60" s="36"/>
      <c r="K60" s="35"/>
      <c r="L60" s="36"/>
      <c r="M60" s="35"/>
      <c r="N60" s="36"/>
      <c r="O60" s="35"/>
      <c r="P60" s="36"/>
      <c r="Q60" s="35"/>
      <c r="R60" s="36"/>
      <c r="X60" s="24"/>
    </row>
    <row r="61" spans="1:24" x14ac:dyDescent="0.2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5"/>
      <c r="F62" s="36"/>
      <c r="G62" s="35"/>
      <c r="H62" s="36"/>
      <c r="I62" s="35"/>
      <c r="J62" s="36"/>
      <c r="K62" s="35"/>
      <c r="L62" s="36"/>
      <c r="M62" s="35"/>
      <c r="N62" s="36"/>
      <c r="O62" s="35"/>
      <c r="P62" s="36"/>
      <c r="Q62" s="35"/>
      <c r="R62" s="36"/>
      <c r="X62" s="24"/>
    </row>
    <row r="63" spans="1:24" x14ac:dyDescent="0.2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25">
      <c r="A64" s="5">
        <v>29</v>
      </c>
      <c r="B64" s="10" t="s">
        <v>50</v>
      </c>
      <c r="C64" s="2" t="s">
        <v>22</v>
      </c>
      <c r="D64" s="16">
        <v>2.0972222222222223E-4</v>
      </c>
      <c r="E64" s="35"/>
      <c r="F64" s="36"/>
      <c r="G64" s="35"/>
      <c r="H64" s="36"/>
      <c r="I64" s="35"/>
      <c r="J64" s="36"/>
      <c r="K64" s="35"/>
      <c r="L64" s="36"/>
      <c r="M64" s="35"/>
      <c r="N64" s="36"/>
      <c r="O64" s="35"/>
      <c r="P64" s="36"/>
      <c r="Q64" s="35"/>
      <c r="R64" s="36"/>
      <c r="X64" s="24"/>
    </row>
    <row r="65" spans="1:24" x14ac:dyDescent="0.2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25">
      <c r="A66" s="5">
        <v>30</v>
      </c>
      <c r="B66" s="10" t="s">
        <v>51</v>
      </c>
      <c r="C66" s="2" t="s">
        <v>22</v>
      </c>
      <c r="D66" s="16">
        <v>2.1087962962962963E-4</v>
      </c>
      <c r="E66" s="35"/>
      <c r="F66" s="36"/>
      <c r="G66" s="35"/>
      <c r="H66" s="36"/>
      <c r="I66" s="35"/>
      <c r="J66" s="36"/>
      <c r="K66" s="35"/>
      <c r="L66" s="36"/>
      <c r="M66" s="35"/>
      <c r="N66" s="36"/>
      <c r="O66" s="35"/>
      <c r="P66" s="36"/>
      <c r="Q66" s="35"/>
      <c r="R66" s="36"/>
      <c r="X66" s="24"/>
    </row>
    <row r="67" spans="1:24" x14ac:dyDescent="0.2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  <c r="I69" s="35"/>
      <c r="J69" s="36"/>
      <c r="K69" s="35"/>
      <c r="L69" s="36"/>
      <c r="M69" s="35"/>
      <c r="N69" s="36"/>
      <c r="O69" s="35"/>
      <c r="P69" s="36"/>
      <c r="Q69" s="35"/>
      <c r="R69" s="36"/>
      <c r="X69" s="24"/>
    </row>
    <row r="70" spans="1:24" x14ac:dyDescent="0.2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  <c r="I71" s="35"/>
      <c r="J71" s="36"/>
      <c r="K71" s="35"/>
      <c r="L71" s="36"/>
      <c r="M71" s="35"/>
      <c r="N71" s="36"/>
      <c r="O71" s="35"/>
      <c r="P71" s="36"/>
      <c r="Q71" s="35"/>
      <c r="R71" s="36"/>
      <c r="X71" s="24"/>
    </row>
    <row r="72" spans="1:24" x14ac:dyDescent="0.2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  <c r="I73" s="35"/>
      <c r="J73" s="36"/>
      <c r="K73" s="35"/>
      <c r="L73" s="36"/>
      <c r="M73" s="35"/>
      <c r="N73" s="36"/>
      <c r="O73" s="35"/>
      <c r="P73" s="36"/>
      <c r="Q73" s="35"/>
      <c r="R73" s="36"/>
      <c r="X73" s="24"/>
    </row>
    <row r="74" spans="1:24" x14ac:dyDescent="0.2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  <c r="I75" s="35"/>
      <c r="J75" s="36"/>
      <c r="K75" s="35"/>
      <c r="L75" s="36"/>
      <c r="M75" s="35"/>
      <c r="N75" s="36"/>
      <c r="O75" s="35"/>
      <c r="P75" s="36"/>
      <c r="Q75" s="35"/>
      <c r="R75" s="36"/>
    </row>
    <row r="76" spans="1:24" x14ac:dyDescent="0.2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  <c r="I77" s="35"/>
      <c r="J77" s="36"/>
      <c r="K77" s="35"/>
      <c r="L77" s="36"/>
      <c r="M77" s="35"/>
      <c r="N77" s="36"/>
      <c r="O77" s="35"/>
      <c r="P77" s="36"/>
      <c r="Q77" s="35"/>
      <c r="R77" s="36"/>
    </row>
    <row r="78" spans="1:24" x14ac:dyDescent="0.2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  <c r="I79" s="35"/>
      <c r="J79" s="36"/>
      <c r="K79" s="35"/>
      <c r="L79" s="36"/>
      <c r="M79" s="35"/>
      <c r="N79" s="36"/>
      <c r="O79" s="35"/>
      <c r="P79" s="36"/>
      <c r="Q79" s="35"/>
      <c r="R79" s="36"/>
    </row>
    <row r="80" spans="1:24" x14ac:dyDescent="0.2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  <c r="I81" s="35"/>
      <c r="J81" s="36"/>
      <c r="K81" s="35"/>
      <c r="L81" s="36"/>
      <c r="M81" s="35"/>
      <c r="N81" s="36"/>
      <c r="O81" s="35"/>
      <c r="P81" s="36"/>
      <c r="Q81" s="35"/>
      <c r="R81" s="36"/>
    </row>
    <row r="82" spans="1:18" x14ac:dyDescent="0.2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  <c r="I83" s="35"/>
      <c r="J83" s="36"/>
      <c r="K83" s="35"/>
      <c r="L83" s="36"/>
      <c r="M83" s="35"/>
      <c r="N83" s="36"/>
      <c r="O83" s="35"/>
      <c r="P83" s="36"/>
      <c r="Q83" s="35"/>
      <c r="R83" s="36"/>
    </row>
    <row r="84" spans="1:18" x14ac:dyDescent="0.2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  <c r="I85" s="35"/>
      <c r="J85" s="36"/>
      <c r="K85" s="35"/>
      <c r="L85" s="36"/>
      <c r="M85" s="35"/>
      <c r="N85" s="36"/>
      <c r="O85" s="35"/>
      <c r="P85" s="36"/>
      <c r="Q85" s="35"/>
      <c r="R85" s="36"/>
    </row>
    <row r="86" spans="1:18" x14ac:dyDescent="0.2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  <c r="I87" s="35"/>
      <c r="J87" s="36"/>
      <c r="K87" s="35"/>
      <c r="L87" s="36"/>
      <c r="M87" s="35"/>
      <c r="N87" s="36"/>
      <c r="O87" s="35"/>
      <c r="P87" s="36"/>
      <c r="Q87" s="35"/>
      <c r="R87" s="36"/>
    </row>
    <row r="88" spans="1:18" x14ac:dyDescent="0.2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  <c r="I90" s="35"/>
      <c r="J90" s="36"/>
      <c r="K90" s="35"/>
      <c r="L90" s="36"/>
      <c r="M90" s="35"/>
      <c r="N90" s="36"/>
      <c r="O90" s="35"/>
      <c r="P90" s="36"/>
      <c r="Q90" s="35"/>
      <c r="R90" s="36"/>
    </row>
    <row r="91" spans="1:18" x14ac:dyDescent="0.2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  <c r="I92" s="35"/>
      <c r="J92" s="36"/>
      <c r="K92" s="35"/>
      <c r="L92" s="36"/>
      <c r="M92" s="35"/>
      <c r="N92" s="36"/>
      <c r="O92" s="35"/>
      <c r="P92" s="36"/>
      <c r="Q92" s="35"/>
      <c r="R92" s="36"/>
    </row>
    <row r="93" spans="1:18" x14ac:dyDescent="0.2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  <c r="I94" s="35"/>
      <c r="J94" s="36"/>
      <c r="K94" s="35"/>
      <c r="L94" s="36"/>
      <c r="M94" s="35"/>
      <c r="N94" s="36"/>
      <c r="O94" s="35"/>
      <c r="P94" s="36"/>
      <c r="Q94" s="35"/>
      <c r="R94" s="36"/>
    </row>
    <row r="95" spans="1:18" x14ac:dyDescent="0.2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  <c r="I96" s="35"/>
      <c r="J96" s="36"/>
      <c r="K96" s="35"/>
      <c r="L96" s="36"/>
      <c r="M96" s="35"/>
      <c r="N96" s="36"/>
      <c r="O96" s="35"/>
      <c r="P96" s="36"/>
      <c r="Q96" s="35"/>
      <c r="R96" s="36"/>
    </row>
    <row r="97" spans="1:18" x14ac:dyDescent="0.2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25">
      <c r="A98" s="5">
        <v>45</v>
      </c>
      <c r="B98" s="10" t="s">
        <v>68</v>
      </c>
      <c r="C98" s="2" t="s">
        <v>22</v>
      </c>
      <c r="D98" s="16">
        <v>2.3460648148148147E-4</v>
      </c>
      <c r="E98" s="35"/>
      <c r="F98" s="36"/>
      <c r="G98" s="35"/>
      <c r="H98" s="36"/>
      <c r="I98" s="35"/>
      <c r="J98" s="36"/>
      <c r="K98" s="35"/>
      <c r="L98" s="36"/>
      <c r="M98" s="35"/>
      <c r="N98" s="36"/>
      <c r="O98" s="35"/>
      <c r="P98" s="36"/>
      <c r="Q98" s="35"/>
      <c r="R98" s="36"/>
    </row>
    <row r="99" spans="1:18" x14ac:dyDescent="0.2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25">
      <c r="A100" s="5">
        <v>46</v>
      </c>
      <c r="B100" s="10" t="s">
        <v>69</v>
      </c>
      <c r="C100" s="2" t="s">
        <v>22</v>
      </c>
      <c r="D100" s="16">
        <v>2.2303240740740739E-4</v>
      </c>
      <c r="E100" s="35"/>
      <c r="F100" s="36"/>
      <c r="G100" s="35"/>
      <c r="H100" s="36"/>
      <c r="I100" s="35"/>
      <c r="J100" s="36"/>
      <c r="K100" s="35"/>
      <c r="L100" s="36"/>
      <c r="M100" s="35"/>
      <c r="N100" s="36"/>
      <c r="O100" s="35"/>
      <c r="P100" s="36"/>
      <c r="Q100" s="35"/>
      <c r="R100" s="36"/>
    </row>
    <row r="101" spans="1:18" x14ac:dyDescent="0.2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  <c r="I102" s="35"/>
      <c r="J102" s="36"/>
      <c r="K102" s="35"/>
      <c r="L102" s="36"/>
      <c r="M102" s="35"/>
      <c r="N102" s="36"/>
      <c r="O102" s="35"/>
      <c r="P102" s="36"/>
      <c r="Q102" s="35"/>
      <c r="R102" s="36"/>
    </row>
    <row r="103" spans="1:18" x14ac:dyDescent="0.2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  <c r="I104" s="35"/>
      <c r="J104" s="36"/>
      <c r="K104" s="35"/>
      <c r="L104" s="36"/>
      <c r="M104" s="35"/>
      <c r="N104" s="36"/>
      <c r="O104" s="35"/>
      <c r="P104" s="36"/>
      <c r="Q104" s="35"/>
      <c r="R104" s="36"/>
    </row>
    <row r="105" spans="1:18" x14ac:dyDescent="0.2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36"/>
      <c r="O106" s="35"/>
      <c r="P106" s="36"/>
      <c r="Q106" s="35"/>
      <c r="R106" s="36"/>
    </row>
    <row r="107" spans="1:18" x14ac:dyDescent="0.2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  <c r="I108" s="35"/>
      <c r="J108" s="36"/>
      <c r="K108" s="35"/>
      <c r="L108" s="36"/>
      <c r="M108" s="35"/>
      <c r="N108" s="36"/>
      <c r="O108" s="35"/>
      <c r="P108" s="36"/>
      <c r="Q108" s="35"/>
      <c r="R108" s="36"/>
    </row>
    <row r="109" spans="1:18" x14ac:dyDescent="0.2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  <c r="I110" s="35"/>
      <c r="J110" s="36"/>
      <c r="K110" s="35"/>
      <c r="L110" s="36"/>
      <c r="M110" s="35"/>
      <c r="N110" s="36"/>
      <c r="O110" s="35"/>
      <c r="P110" s="36"/>
      <c r="Q110" s="35"/>
      <c r="R110" s="36"/>
    </row>
    <row r="111" spans="1:18" x14ac:dyDescent="0.2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  <c r="I112" s="35"/>
      <c r="J112" s="36"/>
      <c r="K112" s="35"/>
      <c r="L112" s="36"/>
      <c r="M112" s="35"/>
      <c r="N112" s="36"/>
      <c r="O112" s="35"/>
      <c r="P112" s="36"/>
      <c r="Q112" s="35"/>
      <c r="R112" s="36"/>
    </row>
    <row r="113" spans="1:18" x14ac:dyDescent="0.2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  <c r="I114" s="35"/>
      <c r="J114" s="36"/>
      <c r="K114" s="35"/>
      <c r="L114" s="36"/>
      <c r="M114" s="35"/>
      <c r="N114" s="36"/>
      <c r="O114" s="35"/>
      <c r="P114" s="36"/>
      <c r="Q114" s="35"/>
      <c r="R114" s="36"/>
    </row>
    <row r="115" spans="1:18" x14ac:dyDescent="0.2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5" x14ac:dyDescent="0.25"/>
  <cols>
    <col min="1" max="1" width="9.5703125" bestFit="1" customWidth="1"/>
    <col min="2" max="2" width="28" bestFit="1" customWidth="1"/>
    <col min="3" max="3" width="13.140625" bestFit="1" customWidth="1"/>
    <col min="4" max="4" width="12.28515625" bestFit="1" customWidth="1"/>
    <col min="5" max="20" width="10.140625" customWidth="1"/>
    <col min="21" max="22" width="3.42578125" customWidth="1"/>
    <col min="23" max="23" width="14.28515625" customWidth="1"/>
    <col min="24" max="24" width="24" customWidth="1"/>
    <col min="25" max="25" width="9.5703125" bestFit="1" customWidth="1"/>
    <col min="26" max="26" width="10.42578125" bestFit="1" customWidth="1"/>
    <col min="27" max="34" width="11.28515625" bestFit="1" customWidth="1"/>
    <col min="36" max="36" width="12" customWidth="1"/>
  </cols>
  <sheetData>
    <row r="1" spans="1:36" ht="18.75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36" x14ac:dyDescent="0.25">
      <c r="W2" s="28" t="s">
        <v>1</v>
      </c>
      <c r="X2" s="29"/>
      <c r="Y2" s="29"/>
      <c r="Z2" s="29"/>
      <c r="AA2" s="29"/>
      <c r="AB2" s="29"/>
      <c r="AC2" s="29"/>
      <c r="AD2" s="29"/>
      <c r="AE2" s="29"/>
      <c r="AF2" s="29"/>
      <c r="AG2" s="29"/>
      <c r="AH2" s="30"/>
      <c r="AI2" s="18"/>
      <c r="AJ2" s="18"/>
    </row>
    <row r="3" spans="1:36" x14ac:dyDescent="0.25">
      <c r="A3" s="31"/>
      <c r="B3" s="31"/>
      <c r="C3" s="31"/>
      <c r="D3" s="31"/>
      <c r="E3" s="28" t="s">
        <v>2</v>
      </c>
      <c r="F3" s="30"/>
      <c r="G3" s="28" t="s">
        <v>3</v>
      </c>
      <c r="H3" s="30"/>
      <c r="I3" s="28" t="s">
        <v>78</v>
      </c>
      <c r="J3" s="30"/>
      <c r="K3" s="40" t="s">
        <v>82</v>
      </c>
      <c r="L3" s="40"/>
      <c r="M3" s="40" t="s">
        <v>84</v>
      </c>
      <c r="N3" s="40"/>
      <c r="O3" s="40" t="s">
        <v>86</v>
      </c>
      <c r="P3" s="40"/>
      <c r="Q3" s="40" t="s">
        <v>88</v>
      </c>
      <c r="R3" s="40"/>
      <c r="S3" s="40" t="s">
        <v>90</v>
      </c>
      <c r="T3" s="40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25">
      <c r="A4" s="32"/>
      <c r="B4" s="32"/>
      <c r="C4" s="32"/>
      <c r="D4" s="32"/>
      <c r="E4" s="38" t="s">
        <v>9</v>
      </c>
      <c r="F4" s="39"/>
      <c r="G4" s="38" t="s">
        <v>9</v>
      </c>
      <c r="H4" s="39"/>
      <c r="I4" s="38" t="s">
        <v>9</v>
      </c>
      <c r="J4" s="39"/>
      <c r="K4" s="38" t="s">
        <v>9</v>
      </c>
      <c r="L4" s="39"/>
      <c r="M4" s="38" t="s">
        <v>9</v>
      </c>
      <c r="N4" s="39"/>
      <c r="O4" s="38" t="s">
        <v>9</v>
      </c>
      <c r="P4" s="39"/>
      <c r="Q4" s="38" t="s">
        <v>9</v>
      </c>
      <c r="R4" s="39"/>
      <c r="S4" s="38" t="s">
        <v>9</v>
      </c>
      <c r="T4" s="39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25">
      <c r="A5" s="1" t="s">
        <v>10</v>
      </c>
      <c r="B5" s="1" t="s">
        <v>11</v>
      </c>
      <c r="C5" s="1" t="s">
        <v>12</v>
      </c>
      <c r="D5" s="1" t="s">
        <v>13</v>
      </c>
      <c r="E5" s="28" t="s">
        <v>14</v>
      </c>
      <c r="F5" s="30"/>
      <c r="G5" s="28" t="s">
        <v>14</v>
      </c>
      <c r="H5" s="30"/>
      <c r="I5" s="28" t="s">
        <v>14</v>
      </c>
      <c r="J5" s="30"/>
      <c r="K5" s="40" t="s">
        <v>14</v>
      </c>
      <c r="L5" s="40"/>
      <c r="M5" s="40" t="s">
        <v>14</v>
      </c>
      <c r="N5" s="40"/>
      <c r="O5" s="40" t="s">
        <v>14</v>
      </c>
      <c r="P5" s="40"/>
      <c r="Q5" s="40" t="s">
        <v>14</v>
      </c>
      <c r="R5" s="40"/>
      <c r="S5" s="40" t="s">
        <v>14</v>
      </c>
      <c r="T5" s="40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25">
      <c r="A6" s="5">
        <v>1</v>
      </c>
      <c r="B6" s="6" t="s">
        <v>15</v>
      </c>
      <c r="C6" s="2" t="s">
        <v>16</v>
      </c>
      <c r="D6" s="16">
        <v>8.9988425925925924E-4</v>
      </c>
      <c r="E6" s="35"/>
      <c r="F6" s="36"/>
      <c r="G6" s="35"/>
      <c r="H6" s="36"/>
      <c r="I6" s="35"/>
      <c r="J6" s="36"/>
      <c r="K6" s="35"/>
      <c r="L6" s="36"/>
      <c r="M6" s="35"/>
      <c r="N6" s="36"/>
      <c r="O6" s="35"/>
      <c r="P6" s="36"/>
      <c r="Q6" s="35"/>
      <c r="R6" s="36"/>
      <c r="S6" s="35"/>
      <c r="T6" s="36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2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25">
      <c r="A8" s="5">
        <v>2</v>
      </c>
      <c r="B8" s="10" t="s">
        <v>18</v>
      </c>
      <c r="C8" s="2" t="s">
        <v>16</v>
      </c>
      <c r="D8" s="16">
        <v>8.1469907407407402E-4</v>
      </c>
      <c r="E8" s="35"/>
      <c r="F8" s="36"/>
      <c r="G8" s="35"/>
      <c r="H8" s="36"/>
      <c r="I8" s="35"/>
      <c r="J8" s="36"/>
      <c r="K8" s="35"/>
      <c r="L8" s="36"/>
      <c r="M8" s="35"/>
      <c r="N8" s="36"/>
      <c r="O8" s="35"/>
      <c r="P8" s="36"/>
      <c r="Q8" s="35"/>
      <c r="R8" s="36"/>
      <c r="S8" s="35"/>
      <c r="T8" s="36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2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25">
      <c r="A10" s="5">
        <v>3</v>
      </c>
      <c r="B10" s="10" t="s">
        <v>19</v>
      </c>
      <c r="C10" s="2" t="s">
        <v>16</v>
      </c>
      <c r="D10" s="16">
        <v>8.7395833333333336E-4</v>
      </c>
      <c r="E10" s="35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2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25">
      <c r="A12" s="5">
        <v>4</v>
      </c>
      <c r="B12" s="10" t="s">
        <v>20</v>
      </c>
      <c r="C12" s="2" t="s">
        <v>16</v>
      </c>
      <c r="D12" s="16">
        <v>7.6782407407407398E-4</v>
      </c>
      <c r="E12" s="35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36" x14ac:dyDescent="0.2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25">
      <c r="A14" s="5">
        <v>5</v>
      </c>
      <c r="B14" s="10" t="s">
        <v>92</v>
      </c>
      <c r="C14" s="2" t="s">
        <v>25</v>
      </c>
      <c r="D14" s="16">
        <v>1.7106481481481478E-4</v>
      </c>
      <c r="E14" s="35"/>
      <c r="F14" s="3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36" x14ac:dyDescent="0.2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25">
      <c r="A16" s="5">
        <v>6</v>
      </c>
      <c r="B16" s="10" t="s">
        <v>93</v>
      </c>
      <c r="C16" s="2" t="s">
        <v>25</v>
      </c>
      <c r="D16" s="16">
        <v>1.7141203703703706E-4</v>
      </c>
      <c r="E16" s="35"/>
      <c r="F16" s="3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x14ac:dyDescent="0.2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25">
      <c r="A18" s="5">
        <v>7</v>
      </c>
      <c r="B18" s="10" t="s">
        <v>24</v>
      </c>
      <c r="C18" s="2" t="s">
        <v>25</v>
      </c>
      <c r="D18" s="16">
        <v>4.8263888888888895E-4</v>
      </c>
      <c r="E18" s="35"/>
      <c r="F18" s="36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x14ac:dyDescent="0.2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25">
      <c r="A20" s="5">
        <v>8</v>
      </c>
      <c r="B20" s="10" t="s">
        <v>26</v>
      </c>
      <c r="C20" s="2" t="s">
        <v>25</v>
      </c>
      <c r="D20" s="16">
        <v>4.8379629629629624E-4</v>
      </c>
      <c r="E20" s="35"/>
      <c r="F20" s="36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x14ac:dyDescent="0.2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25">
      <c r="A22" s="5">
        <v>9</v>
      </c>
      <c r="B22" s="10" t="s">
        <v>27</v>
      </c>
      <c r="C22" s="2" t="s">
        <v>25</v>
      </c>
      <c r="D22" s="16">
        <v>3.9120370370370367E-4</v>
      </c>
      <c r="E22" s="35"/>
      <c r="F22" s="36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x14ac:dyDescent="0.2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25">
      <c r="A24" s="5">
        <v>10</v>
      </c>
      <c r="B24" s="10" t="s">
        <v>28</v>
      </c>
      <c r="C24" s="2" t="s">
        <v>25</v>
      </c>
      <c r="D24" s="16">
        <v>3.8310185185185186E-4</v>
      </c>
      <c r="E24" s="35"/>
      <c r="F24" s="36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x14ac:dyDescent="0.2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2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25">
      <c r="A27" s="5">
        <v>11</v>
      </c>
      <c r="B27" s="10" t="s">
        <v>30</v>
      </c>
      <c r="C27" s="2" t="s">
        <v>16</v>
      </c>
      <c r="D27" s="16">
        <v>8.2986111111111119E-4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x14ac:dyDescent="0.2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25">
      <c r="A29" s="5">
        <v>12</v>
      </c>
      <c r="B29" s="10" t="s">
        <v>31</v>
      </c>
      <c r="C29" s="2" t="s">
        <v>16</v>
      </c>
      <c r="D29" s="16">
        <v>7.164351851851853E-4</v>
      </c>
      <c r="E29" s="37"/>
      <c r="F29" s="37"/>
      <c r="G29" s="35"/>
      <c r="H29" s="36"/>
      <c r="I29" s="35"/>
      <c r="J29" s="36"/>
      <c r="K29" s="35"/>
      <c r="L29" s="36"/>
      <c r="M29" s="35"/>
      <c r="N29" s="36"/>
      <c r="O29" s="35"/>
      <c r="P29" s="36"/>
      <c r="Q29" s="35"/>
      <c r="R29" s="36"/>
      <c r="S29" s="35"/>
      <c r="T29" s="36"/>
    </row>
    <row r="30" spans="1:20" x14ac:dyDescent="0.2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25">
      <c r="A31" s="5">
        <v>13</v>
      </c>
      <c r="B31" s="10" t="s">
        <v>32</v>
      </c>
      <c r="C31" s="2" t="s">
        <v>16</v>
      </c>
      <c r="D31" s="16">
        <v>8.0243055555555547E-4</v>
      </c>
      <c r="E31" s="37"/>
      <c r="F31" s="37"/>
      <c r="G31" s="35"/>
      <c r="H31" s="36"/>
      <c r="I31" s="35"/>
      <c r="J31" s="36"/>
      <c r="K31" s="35"/>
      <c r="L31" s="36"/>
      <c r="M31" s="35"/>
      <c r="N31" s="36"/>
      <c r="O31" s="35"/>
      <c r="P31" s="36"/>
      <c r="Q31" s="35"/>
      <c r="R31" s="36"/>
      <c r="S31" s="35"/>
      <c r="T31" s="36"/>
    </row>
    <row r="32" spans="1:20" x14ac:dyDescent="0.2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25">
      <c r="A33" s="5">
        <v>14</v>
      </c>
      <c r="B33" s="10" t="s">
        <v>33</v>
      </c>
      <c r="C33" s="2" t="s">
        <v>16</v>
      </c>
      <c r="D33" s="16">
        <v>7.9502314814814811E-4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34" x14ac:dyDescent="0.2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25">
      <c r="A35" s="5">
        <v>15</v>
      </c>
      <c r="B35" s="10" t="s">
        <v>34</v>
      </c>
      <c r="C35" s="2" t="s">
        <v>16</v>
      </c>
      <c r="D35" s="16">
        <v>6.6747685185185182E-4</v>
      </c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34" x14ac:dyDescent="0.2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25">
      <c r="A37" s="5">
        <v>16</v>
      </c>
      <c r="B37" s="10" t="s">
        <v>35</v>
      </c>
      <c r="C37" s="2" t="s">
        <v>16</v>
      </c>
      <c r="D37" s="16">
        <v>6.3738425925925931E-4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34" x14ac:dyDescent="0.2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25">
      <c r="A39" s="5">
        <v>17</v>
      </c>
      <c r="B39" s="10" t="s">
        <v>36</v>
      </c>
      <c r="C39" s="2" t="s">
        <v>25</v>
      </c>
      <c r="D39" s="16">
        <v>4.4560185185185192E-4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34" x14ac:dyDescent="0.2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25">
      <c r="A41" s="5">
        <v>18</v>
      </c>
      <c r="B41" s="10" t="s">
        <v>37</v>
      </c>
      <c r="C41" s="2" t="s">
        <v>25</v>
      </c>
      <c r="D41" s="16">
        <v>4.3287037037037035E-4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34" x14ac:dyDescent="0.2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25">
      <c r="A43" s="5">
        <v>19</v>
      </c>
      <c r="B43" s="10" t="s">
        <v>38</v>
      </c>
      <c r="C43" s="2" t="s">
        <v>16</v>
      </c>
      <c r="D43" s="16">
        <v>8.0439814814814816E-4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34" x14ac:dyDescent="0.2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25">
      <c r="A45" s="5">
        <v>20</v>
      </c>
      <c r="B45" s="10" t="s">
        <v>39</v>
      </c>
      <c r="C45" s="2" t="s">
        <v>16</v>
      </c>
      <c r="D45" s="16">
        <v>7.337962962962963E-4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34" x14ac:dyDescent="0.2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2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5">
      <c r="A48" s="5">
        <v>21</v>
      </c>
      <c r="B48" s="10" t="s">
        <v>94</v>
      </c>
      <c r="C48" s="2" t="s">
        <v>25</v>
      </c>
      <c r="D48" s="16">
        <v>1.8703703703703702E-4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Z48" s="24"/>
    </row>
    <row r="49" spans="1:26" x14ac:dyDescent="0.2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25">
      <c r="A50" s="5">
        <v>22</v>
      </c>
      <c r="B50" s="10" t="s">
        <v>95</v>
      </c>
      <c r="C50" s="2" t="s">
        <v>25</v>
      </c>
      <c r="D50" s="16">
        <v>1.8969907407407409E-4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Z50" s="24"/>
    </row>
    <row r="51" spans="1:26" x14ac:dyDescent="0.2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25">
      <c r="A52" s="5">
        <v>23</v>
      </c>
      <c r="B52" s="10" t="s">
        <v>43</v>
      </c>
      <c r="C52" s="2" t="s">
        <v>25</v>
      </c>
      <c r="D52" s="16">
        <v>3.5300925925925924E-4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Z52" s="24"/>
    </row>
    <row r="53" spans="1:26" x14ac:dyDescent="0.2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25">
      <c r="A54" s="5">
        <v>24</v>
      </c>
      <c r="B54" s="10" t="s">
        <v>44</v>
      </c>
      <c r="C54" s="2" t="s">
        <v>25</v>
      </c>
      <c r="D54" s="16">
        <v>3.5416666666666669E-4</v>
      </c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Z54" s="24"/>
    </row>
    <row r="55" spans="1:26" x14ac:dyDescent="0.2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25">
      <c r="A56" s="5">
        <v>25</v>
      </c>
      <c r="B56" s="10" t="s">
        <v>45</v>
      </c>
      <c r="C56" s="2" t="s">
        <v>46</v>
      </c>
      <c r="D56" s="16">
        <v>1.5381944444444445E-3</v>
      </c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Z56" s="24"/>
    </row>
    <row r="57" spans="1:26" x14ac:dyDescent="0.2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25">
      <c r="A58" s="5">
        <v>26</v>
      </c>
      <c r="B58" s="10" t="s">
        <v>47</v>
      </c>
      <c r="C58" s="2" t="s">
        <v>46</v>
      </c>
      <c r="D58" s="16">
        <v>1.4189814814814814E-3</v>
      </c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Z58" s="24"/>
    </row>
    <row r="59" spans="1:26" x14ac:dyDescent="0.2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25">
      <c r="A60" s="5">
        <v>27</v>
      </c>
      <c r="B60" s="10" t="s">
        <v>48</v>
      </c>
      <c r="C60" s="2" t="s">
        <v>46</v>
      </c>
      <c r="D60" s="16">
        <v>1.5170138888888889E-3</v>
      </c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Z60" s="24"/>
    </row>
    <row r="61" spans="1:26" x14ac:dyDescent="0.2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25">
      <c r="A62" s="5">
        <v>28</v>
      </c>
      <c r="B62" s="10" t="s">
        <v>49</v>
      </c>
      <c r="C62" s="2" t="s">
        <v>46</v>
      </c>
      <c r="D62" s="16">
        <v>1.3824074074074075E-3</v>
      </c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Z62" s="24"/>
    </row>
    <row r="63" spans="1:26" x14ac:dyDescent="0.2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25">
      <c r="A64" s="5">
        <v>29</v>
      </c>
      <c r="B64" s="10" t="s">
        <v>96</v>
      </c>
      <c r="C64" s="2" t="s">
        <v>25</v>
      </c>
      <c r="D64" s="16">
        <v>2.0972222222222223E-4</v>
      </c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Z64" s="24"/>
    </row>
    <row r="65" spans="1:26" x14ac:dyDescent="0.2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25">
      <c r="A66" s="5">
        <v>30</v>
      </c>
      <c r="B66" s="10" t="s">
        <v>97</v>
      </c>
      <c r="C66" s="2" t="s">
        <v>25</v>
      </c>
      <c r="D66" s="16">
        <v>2.1087962962962963E-4</v>
      </c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Z66" s="24"/>
    </row>
    <row r="67" spans="1:26" x14ac:dyDescent="0.2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2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25">
      <c r="A69" s="5">
        <v>31</v>
      </c>
      <c r="B69" s="10" t="s">
        <v>53</v>
      </c>
      <c r="C69" s="2" t="s">
        <v>25</v>
      </c>
      <c r="D69" s="16">
        <v>4.0509259259259258E-4</v>
      </c>
      <c r="E69" s="35"/>
      <c r="F69" s="36"/>
      <c r="G69" s="35"/>
      <c r="H69" s="36"/>
      <c r="I69" s="35"/>
      <c r="J69" s="36"/>
      <c r="K69" s="35"/>
      <c r="L69" s="36"/>
      <c r="M69" s="35"/>
      <c r="N69" s="36"/>
      <c r="O69" s="35"/>
      <c r="P69" s="36"/>
      <c r="Q69" s="35"/>
      <c r="R69" s="36"/>
      <c r="S69" s="35"/>
      <c r="T69" s="36"/>
      <c r="Z69" s="24"/>
    </row>
    <row r="70" spans="1:26" x14ac:dyDescent="0.2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25">
      <c r="A71" s="5">
        <v>32</v>
      </c>
      <c r="B71" s="10" t="s">
        <v>54</v>
      </c>
      <c r="C71" s="2" t="s">
        <v>25</v>
      </c>
      <c r="D71" s="16">
        <v>4.1087962962962958E-4</v>
      </c>
      <c r="E71" s="35"/>
      <c r="F71" s="36"/>
      <c r="G71" s="35"/>
      <c r="H71" s="36"/>
      <c r="I71" s="35"/>
      <c r="J71" s="36"/>
      <c r="K71" s="35"/>
      <c r="L71" s="36"/>
      <c r="M71" s="35"/>
      <c r="N71" s="36"/>
      <c r="O71" s="35"/>
      <c r="P71" s="36"/>
      <c r="Q71" s="35"/>
      <c r="R71" s="36"/>
      <c r="S71" s="35"/>
      <c r="T71" s="36"/>
      <c r="Z71" s="24"/>
    </row>
    <row r="72" spans="1:26" x14ac:dyDescent="0.2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25">
      <c r="A73" s="5">
        <v>33</v>
      </c>
      <c r="B73" s="10" t="s">
        <v>55</v>
      </c>
      <c r="C73" s="2" t="s">
        <v>25</v>
      </c>
      <c r="D73" s="16">
        <v>3.3912037037037032E-4</v>
      </c>
      <c r="E73" s="35"/>
      <c r="F73" s="36"/>
      <c r="G73" s="35"/>
      <c r="H73" s="36"/>
      <c r="I73" s="35"/>
      <c r="J73" s="36"/>
      <c r="K73" s="35"/>
      <c r="L73" s="36"/>
      <c r="M73" s="35"/>
      <c r="N73" s="36"/>
      <c r="O73" s="35"/>
      <c r="P73" s="36"/>
      <c r="Q73" s="35"/>
      <c r="R73" s="36"/>
      <c r="S73" s="35"/>
      <c r="T73" s="36"/>
      <c r="Z73" s="24"/>
    </row>
    <row r="74" spans="1:26" x14ac:dyDescent="0.2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25">
      <c r="A75" s="5">
        <v>34</v>
      </c>
      <c r="B75" s="10" t="s">
        <v>56</v>
      </c>
      <c r="C75" s="2" t="s">
        <v>25</v>
      </c>
      <c r="D75" s="16">
        <v>3.2523148148148152E-4</v>
      </c>
      <c r="E75" s="35"/>
      <c r="F75" s="36"/>
      <c r="G75" s="35"/>
      <c r="H75" s="36"/>
      <c r="I75" s="35"/>
      <c r="J75" s="36"/>
      <c r="K75" s="35"/>
      <c r="L75" s="36"/>
      <c r="M75" s="35"/>
      <c r="N75" s="36"/>
      <c r="O75" s="35"/>
      <c r="P75" s="36"/>
      <c r="Q75" s="35"/>
      <c r="R75" s="36"/>
      <c r="S75" s="35"/>
      <c r="T75" s="36"/>
      <c r="Z75" s="24"/>
    </row>
    <row r="76" spans="1:26" x14ac:dyDescent="0.2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25">
      <c r="A77" s="5">
        <v>35</v>
      </c>
      <c r="B77" s="10" t="s">
        <v>57</v>
      </c>
      <c r="C77" s="2" t="s">
        <v>16</v>
      </c>
      <c r="D77" s="16">
        <v>9.5023148148148159E-4</v>
      </c>
      <c r="E77" s="35"/>
      <c r="F77" s="36"/>
      <c r="G77" s="35"/>
      <c r="H77" s="36"/>
      <c r="I77" s="35"/>
      <c r="J77" s="36"/>
      <c r="K77" s="35"/>
      <c r="L77" s="36"/>
      <c r="M77" s="35"/>
      <c r="N77" s="36"/>
      <c r="O77" s="35"/>
      <c r="P77" s="36"/>
      <c r="Q77" s="35"/>
      <c r="R77" s="36"/>
      <c r="S77" s="35"/>
      <c r="T77" s="36"/>
      <c r="Z77" s="24"/>
    </row>
    <row r="78" spans="1:26" x14ac:dyDescent="0.2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25">
      <c r="A79" s="5">
        <v>36</v>
      </c>
      <c r="B79" s="10" t="s">
        <v>58</v>
      </c>
      <c r="C79" s="2" t="s">
        <v>16</v>
      </c>
      <c r="D79" s="16">
        <v>8.5532407407407399E-4</v>
      </c>
      <c r="E79" s="35"/>
      <c r="F79" s="36"/>
      <c r="G79" s="35"/>
      <c r="H79" s="36"/>
      <c r="I79" s="35"/>
      <c r="J79" s="36"/>
      <c r="K79" s="35"/>
      <c r="L79" s="36"/>
      <c r="M79" s="35"/>
      <c r="N79" s="36"/>
      <c r="O79" s="35"/>
      <c r="P79" s="36"/>
      <c r="Q79" s="35"/>
      <c r="R79" s="36"/>
      <c r="S79" s="35"/>
      <c r="T79" s="36"/>
    </row>
    <row r="80" spans="1:26" x14ac:dyDescent="0.2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25">
      <c r="A81" s="5">
        <v>37</v>
      </c>
      <c r="B81" s="10" t="s">
        <v>59</v>
      </c>
      <c r="C81" s="2" t="s">
        <v>16</v>
      </c>
      <c r="D81" s="16">
        <v>6.8425925925925913E-4</v>
      </c>
      <c r="E81" s="35"/>
      <c r="F81" s="36"/>
      <c r="G81" s="35"/>
      <c r="H81" s="36"/>
      <c r="I81" s="35"/>
      <c r="J81" s="36"/>
      <c r="K81" s="35"/>
      <c r="L81" s="36"/>
      <c r="M81" s="35"/>
      <c r="N81" s="36"/>
      <c r="O81" s="35"/>
      <c r="P81" s="36"/>
      <c r="Q81" s="35"/>
      <c r="R81" s="36"/>
      <c r="S81" s="35"/>
      <c r="T81" s="36"/>
    </row>
    <row r="82" spans="1:20" x14ac:dyDescent="0.2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25">
      <c r="A83" s="5">
        <v>38</v>
      </c>
      <c r="B83" s="10" t="s">
        <v>60</v>
      </c>
      <c r="C83" s="2" t="s">
        <v>16</v>
      </c>
      <c r="D83" s="16">
        <v>6.8564814814814823E-4</v>
      </c>
      <c r="E83" s="35"/>
      <c r="F83" s="36"/>
      <c r="G83" s="35"/>
      <c r="H83" s="36"/>
      <c r="I83" s="35"/>
      <c r="J83" s="36"/>
      <c r="K83" s="35"/>
      <c r="L83" s="36"/>
      <c r="M83" s="35"/>
      <c r="N83" s="36"/>
      <c r="O83" s="35"/>
      <c r="P83" s="36"/>
      <c r="Q83" s="35"/>
      <c r="R83" s="36"/>
      <c r="S83" s="35"/>
      <c r="T83" s="36"/>
    </row>
    <row r="84" spans="1:20" x14ac:dyDescent="0.2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25">
      <c r="A85" s="5">
        <v>39</v>
      </c>
      <c r="B85" s="10" t="s">
        <v>61</v>
      </c>
      <c r="C85" s="2" t="s">
        <v>16</v>
      </c>
      <c r="D85" s="16">
        <v>7.4768518518518511E-4</v>
      </c>
      <c r="E85" s="35"/>
      <c r="F85" s="36"/>
      <c r="G85" s="35"/>
      <c r="H85" s="36"/>
      <c r="I85" s="35"/>
      <c r="J85" s="36"/>
      <c r="K85" s="35"/>
      <c r="L85" s="36"/>
      <c r="M85" s="35"/>
      <c r="N85" s="36"/>
      <c r="O85" s="35"/>
      <c r="P85" s="36"/>
      <c r="Q85" s="35"/>
      <c r="R85" s="36"/>
      <c r="S85" s="35"/>
      <c r="T85" s="36"/>
    </row>
    <row r="86" spans="1:20" x14ac:dyDescent="0.2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25">
      <c r="A87" s="5">
        <v>40</v>
      </c>
      <c r="B87" s="10" t="s">
        <v>62</v>
      </c>
      <c r="C87" s="2" t="s">
        <v>16</v>
      </c>
      <c r="D87" s="16">
        <v>7.1921296296296306E-4</v>
      </c>
      <c r="E87" s="35"/>
      <c r="F87" s="36"/>
      <c r="G87" s="35"/>
      <c r="H87" s="36"/>
      <c r="I87" s="35"/>
      <c r="J87" s="36"/>
      <c r="K87" s="35"/>
      <c r="L87" s="36"/>
      <c r="M87" s="35"/>
      <c r="N87" s="36"/>
      <c r="O87" s="35"/>
      <c r="P87" s="36"/>
      <c r="Q87" s="35"/>
      <c r="R87" s="36"/>
      <c r="S87" s="35"/>
      <c r="T87" s="36"/>
    </row>
    <row r="88" spans="1:20" x14ac:dyDescent="0.2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2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25">
      <c r="A90" s="5">
        <v>41</v>
      </c>
      <c r="B90" s="10" t="s">
        <v>64</v>
      </c>
      <c r="C90" s="2" t="s">
        <v>25</v>
      </c>
      <c r="D90" s="16">
        <v>3.7615740740740735E-4</v>
      </c>
      <c r="E90" s="35"/>
      <c r="F90" s="36"/>
      <c r="G90" s="35"/>
      <c r="H90" s="36"/>
      <c r="I90" s="35"/>
      <c r="J90" s="36"/>
      <c r="K90" s="35"/>
      <c r="L90" s="36"/>
      <c r="M90" s="35"/>
      <c r="N90" s="36"/>
      <c r="O90" s="35"/>
      <c r="P90" s="36"/>
      <c r="Q90" s="35"/>
      <c r="R90" s="36"/>
      <c r="S90" s="35"/>
      <c r="T90" s="36"/>
    </row>
    <row r="91" spans="1:20" x14ac:dyDescent="0.2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25">
      <c r="A92" s="5">
        <v>42</v>
      </c>
      <c r="B92" s="10" t="s">
        <v>65</v>
      </c>
      <c r="C92" s="2" t="s">
        <v>25</v>
      </c>
      <c r="D92" s="16">
        <v>3.6458333333333335E-4</v>
      </c>
      <c r="E92" s="35"/>
      <c r="F92" s="36"/>
      <c r="G92" s="35"/>
      <c r="H92" s="36"/>
      <c r="I92" s="35"/>
      <c r="J92" s="36"/>
      <c r="K92" s="35"/>
      <c r="L92" s="36"/>
      <c r="M92" s="35"/>
      <c r="N92" s="36"/>
      <c r="O92" s="35"/>
      <c r="P92" s="36"/>
      <c r="Q92" s="35"/>
      <c r="R92" s="36"/>
      <c r="S92" s="35"/>
      <c r="T92" s="36"/>
    </row>
    <row r="93" spans="1:20" x14ac:dyDescent="0.2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25">
      <c r="A94" s="5">
        <v>43</v>
      </c>
      <c r="B94" s="10" t="s">
        <v>66</v>
      </c>
      <c r="C94" s="2" t="s">
        <v>16</v>
      </c>
      <c r="D94" s="16">
        <v>7.1874999999999988E-4</v>
      </c>
      <c r="E94" s="35"/>
      <c r="F94" s="36"/>
      <c r="G94" s="35"/>
      <c r="H94" s="36"/>
      <c r="I94" s="35"/>
      <c r="J94" s="36"/>
      <c r="K94" s="35"/>
      <c r="L94" s="36"/>
      <c r="M94" s="35"/>
      <c r="N94" s="36"/>
      <c r="O94" s="35"/>
      <c r="P94" s="36"/>
      <c r="Q94" s="35"/>
      <c r="R94" s="36"/>
      <c r="S94" s="35"/>
      <c r="T94" s="36"/>
    </row>
    <row r="95" spans="1:20" x14ac:dyDescent="0.2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25">
      <c r="A96" s="5">
        <v>44</v>
      </c>
      <c r="B96" s="10" t="s">
        <v>67</v>
      </c>
      <c r="C96" s="2" t="s">
        <v>16</v>
      </c>
      <c r="D96" s="16">
        <v>6.4004629629629622E-4</v>
      </c>
      <c r="E96" s="35"/>
      <c r="F96" s="36"/>
      <c r="G96" s="35"/>
      <c r="H96" s="36"/>
      <c r="I96" s="35"/>
      <c r="J96" s="36"/>
      <c r="K96" s="35"/>
      <c r="L96" s="36"/>
      <c r="M96" s="35"/>
      <c r="N96" s="36"/>
      <c r="O96" s="35"/>
      <c r="P96" s="36"/>
      <c r="Q96" s="35"/>
      <c r="R96" s="36"/>
      <c r="S96" s="35"/>
      <c r="T96" s="36"/>
    </row>
    <row r="97" spans="1:20" x14ac:dyDescent="0.2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25">
      <c r="A98" s="5">
        <v>45</v>
      </c>
      <c r="B98" s="10" t="s">
        <v>98</v>
      </c>
      <c r="C98" s="2" t="s">
        <v>25</v>
      </c>
      <c r="D98" s="16">
        <v>2.3460648148148147E-4</v>
      </c>
      <c r="E98" s="35"/>
      <c r="F98" s="36"/>
      <c r="G98" s="35"/>
      <c r="H98" s="36"/>
      <c r="I98" s="35"/>
      <c r="J98" s="36"/>
      <c r="K98" s="35"/>
      <c r="L98" s="36"/>
      <c r="M98" s="35"/>
      <c r="N98" s="36"/>
      <c r="O98" s="35"/>
      <c r="P98" s="36"/>
      <c r="Q98" s="35"/>
      <c r="R98" s="36"/>
      <c r="S98" s="35"/>
      <c r="T98" s="36"/>
    </row>
    <row r="99" spans="1:20" x14ac:dyDescent="0.2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25">
      <c r="A100" s="5">
        <v>46</v>
      </c>
      <c r="B100" s="10" t="s">
        <v>99</v>
      </c>
      <c r="C100" s="2" t="s">
        <v>25</v>
      </c>
      <c r="D100" s="16">
        <v>2.2303240740740739E-4</v>
      </c>
      <c r="E100" s="35"/>
      <c r="F100" s="36"/>
      <c r="G100" s="35"/>
      <c r="H100" s="36"/>
      <c r="I100" s="35"/>
      <c r="J100" s="36"/>
      <c r="K100" s="35"/>
      <c r="L100" s="36"/>
      <c r="M100" s="35"/>
      <c r="N100" s="36"/>
      <c r="O100" s="35"/>
      <c r="P100" s="36"/>
      <c r="Q100" s="35"/>
      <c r="R100" s="36"/>
      <c r="S100" s="35"/>
      <c r="T100" s="36"/>
    </row>
    <row r="101" spans="1:20" x14ac:dyDescent="0.2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25">
      <c r="A102" s="5">
        <v>47</v>
      </c>
      <c r="B102" s="10" t="s">
        <v>70</v>
      </c>
      <c r="C102" s="2" t="s">
        <v>25</v>
      </c>
      <c r="D102" s="16">
        <v>4.236111111111111E-4</v>
      </c>
      <c r="E102" s="35"/>
      <c r="F102" s="36"/>
      <c r="G102" s="35"/>
      <c r="H102" s="36"/>
      <c r="I102" s="35"/>
      <c r="J102" s="36"/>
      <c r="K102" s="35"/>
      <c r="L102" s="36"/>
      <c r="M102" s="35"/>
      <c r="N102" s="36"/>
      <c r="O102" s="35"/>
      <c r="P102" s="36"/>
      <c r="Q102" s="35"/>
      <c r="R102" s="36"/>
      <c r="S102" s="35"/>
      <c r="T102" s="36"/>
    </row>
    <row r="103" spans="1:20" x14ac:dyDescent="0.2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25">
      <c r="A104" s="5">
        <v>48</v>
      </c>
      <c r="B104" s="10" t="s">
        <v>71</v>
      </c>
      <c r="C104" s="2" t="s">
        <v>25</v>
      </c>
      <c r="D104" s="16">
        <v>4.1666666666666669E-4</v>
      </c>
      <c r="E104" s="35"/>
      <c r="F104" s="36"/>
      <c r="G104" s="35"/>
      <c r="H104" s="36"/>
      <c r="I104" s="35"/>
      <c r="J104" s="36"/>
      <c r="K104" s="35"/>
      <c r="L104" s="36"/>
      <c r="M104" s="35"/>
      <c r="N104" s="36"/>
      <c r="O104" s="35"/>
      <c r="P104" s="36"/>
      <c r="Q104" s="35"/>
      <c r="R104" s="36"/>
      <c r="S104" s="35"/>
      <c r="T104" s="36"/>
    </row>
    <row r="105" spans="1:20" x14ac:dyDescent="0.2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25">
      <c r="A106" s="5">
        <v>49</v>
      </c>
      <c r="B106" s="10" t="s">
        <v>72</v>
      </c>
      <c r="C106" s="2" t="s">
        <v>46</v>
      </c>
      <c r="D106" s="16">
        <v>1.3750000000000001E-3</v>
      </c>
      <c r="E106" s="35"/>
      <c r="F106" s="36"/>
      <c r="G106" s="35"/>
      <c r="H106" s="36"/>
      <c r="I106" s="35"/>
      <c r="J106" s="36"/>
      <c r="K106" s="35"/>
      <c r="L106" s="36"/>
      <c r="M106" s="35"/>
      <c r="N106" s="36"/>
      <c r="O106" s="35"/>
      <c r="P106" s="36"/>
      <c r="Q106" s="35"/>
      <c r="R106" s="36"/>
      <c r="S106" s="35"/>
      <c r="T106" s="36"/>
    </row>
    <row r="107" spans="1:20" x14ac:dyDescent="0.2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25">
      <c r="A108" s="5">
        <v>50</v>
      </c>
      <c r="B108" s="10" t="s">
        <v>73</v>
      </c>
      <c r="C108" s="2" t="s">
        <v>46</v>
      </c>
      <c r="D108" s="16">
        <v>1.2638888888888888E-3</v>
      </c>
      <c r="E108" s="35"/>
      <c r="F108" s="36"/>
      <c r="G108" s="35"/>
      <c r="H108" s="36"/>
      <c r="I108" s="35"/>
      <c r="J108" s="36"/>
      <c r="K108" s="35"/>
      <c r="L108" s="36"/>
      <c r="M108" s="35"/>
      <c r="N108" s="36"/>
      <c r="O108" s="35"/>
      <c r="P108" s="36"/>
      <c r="Q108" s="35"/>
      <c r="R108" s="36"/>
      <c r="S108" s="35"/>
      <c r="T108" s="36"/>
    </row>
    <row r="109" spans="1:20" x14ac:dyDescent="0.2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25">
      <c r="A110" s="5">
        <v>51</v>
      </c>
      <c r="B110" s="10" t="s">
        <v>74</v>
      </c>
      <c r="C110" s="2" t="s">
        <v>46</v>
      </c>
      <c r="D110" s="16">
        <v>1.3565972222222224E-3</v>
      </c>
      <c r="E110" s="35"/>
      <c r="F110" s="36"/>
      <c r="G110" s="35"/>
      <c r="H110" s="36"/>
      <c r="I110" s="35"/>
      <c r="J110" s="36"/>
      <c r="K110" s="35"/>
      <c r="L110" s="36"/>
      <c r="M110" s="35"/>
      <c r="N110" s="36"/>
      <c r="O110" s="35"/>
      <c r="P110" s="36"/>
      <c r="Q110" s="35"/>
      <c r="R110" s="36"/>
      <c r="S110" s="35"/>
      <c r="T110" s="36"/>
    </row>
    <row r="111" spans="1:20" x14ac:dyDescent="0.2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25">
      <c r="A112" s="5">
        <v>52</v>
      </c>
      <c r="B112" s="10" t="s">
        <v>75</v>
      </c>
      <c r="C112" s="2" t="s">
        <v>46</v>
      </c>
      <c r="D112" s="16">
        <v>1.2381944444444443E-3</v>
      </c>
      <c r="E112" s="35"/>
      <c r="F112" s="36"/>
      <c r="G112" s="35"/>
      <c r="H112" s="36"/>
      <c r="I112" s="35"/>
      <c r="J112" s="36"/>
      <c r="K112" s="35"/>
      <c r="L112" s="36"/>
      <c r="M112" s="35"/>
      <c r="N112" s="36"/>
      <c r="O112" s="35"/>
      <c r="P112" s="36"/>
      <c r="Q112" s="35"/>
      <c r="R112" s="36"/>
      <c r="S112" s="35"/>
      <c r="T112" s="36"/>
    </row>
    <row r="113" spans="1:20" x14ac:dyDescent="0.2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25">
      <c r="A114" s="5">
        <v>53</v>
      </c>
      <c r="B114" s="10" t="s">
        <v>76</v>
      </c>
      <c r="C114" s="2" t="s">
        <v>46</v>
      </c>
      <c r="D114" s="16">
        <v>6.8287037037037025E-4</v>
      </c>
      <c r="E114" s="35"/>
      <c r="F114" s="36"/>
      <c r="G114" s="35"/>
      <c r="H114" s="36"/>
      <c r="I114" s="35"/>
      <c r="J114" s="36"/>
      <c r="K114" s="35"/>
      <c r="L114" s="36"/>
      <c r="M114" s="35"/>
      <c r="N114" s="36"/>
      <c r="O114" s="35"/>
      <c r="P114" s="36"/>
      <c r="Q114" s="35"/>
      <c r="R114" s="36"/>
      <c r="S114" s="35"/>
      <c r="T114" s="36"/>
    </row>
    <row r="115" spans="1:20" x14ac:dyDescent="0.2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2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elizabeth phillips</cp:lastModifiedBy>
  <cp:revision/>
  <dcterms:created xsi:type="dcterms:W3CDTF">2019-11-07T20:01:16Z</dcterms:created>
  <dcterms:modified xsi:type="dcterms:W3CDTF">2026-01-31T20:15:21Z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