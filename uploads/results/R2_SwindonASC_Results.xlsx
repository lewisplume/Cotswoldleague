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y Drive\Cotswold League\Cotswold Secretary Folder\2026\Results\Round 2\"/>
    </mc:Choice>
  </mc:AlternateContent>
  <xr:revisionPtr revIDLastSave="0" documentId="13_ncr:1_{68736D61-761F-4CF2-A800-1054FA5B9589}" xr6:coauthVersionLast="47" xr6:coauthVersionMax="47" xr10:uidLastSave="{00000000-0000-0000-0000-000000000000}"/>
  <bookViews>
    <workbookView xWindow="11190" yWindow="0" windowWidth="11460" windowHeight="14410" tabRatio="749" activeTab="1" xr2:uid="{5DFF0300-9C7B-4584-A371-49104772FE01}"/>
  </bookViews>
  <sheets>
    <sheet name="INSTRUCTIONS" sheetId="8" r:id="rId1"/>
    <sheet name="NO-TEAMS 04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3" l="1"/>
  <c r="Q9" i="3"/>
  <c r="K115" i="3" l="1"/>
  <c r="L115" i="3" s="1" a="1"/>
  <c r="L115" i="3" s="1"/>
  <c r="I115" i="3"/>
  <c r="J115" i="3" s="1" a="1"/>
  <c r="J115" i="3" s="1"/>
  <c r="G115" i="3"/>
  <c r="H115" i="3" s="1" a="1"/>
  <c r="H115" i="3" s="1"/>
  <c r="E115" i="3"/>
  <c r="F115" i="3" s="1" a="1"/>
  <c r="F115" i="3" s="1"/>
  <c r="K40" i="3"/>
  <c r="L40" i="3" s="1" a="1"/>
  <c r="L40" i="3" s="1"/>
  <c r="I40" i="3"/>
  <c r="J40" i="3" s="1" a="1"/>
  <c r="J40" i="3" s="1"/>
  <c r="G40" i="3"/>
  <c r="H40" i="3" s="1" a="1"/>
  <c r="H40" i="3" s="1"/>
  <c r="E40" i="3"/>
  <c r="F40" i="3" s="1" a="1"/>
  <c r="F40" i="3" s="1"/>
  <c r="K32" i="3"/>
  <c r="L32" i="3" s="1" a="1"/>
  <c r="L32" i="3" s="1"/>
  <c r="I32" i="3"/>
  <c r="J32" i="3" s="1" a="1"/>
  <c r="J32" i="3" s="1"/>
  <c r="G32" i="3"/>
  <c r="H32" i="3" s="1" a="1"/>
  <c r="H32" i="3" s="1"/>
  <c r="E32" i="3"/>
  <c r="F32" i="3" s="1" a="1"/>
  <c r="F32" i="3" s="1"/>
  <c r="P11" i="3"/>
  <c r="P10" i="3"/>
  <c r="P9" i="3"/>
  <c r="P8" i="3"/>
  <c r="K113" i="3"/>
  <c r="L113" i="3" s="1" a="1"/>
  <c r="L113" i="3" s="1"/>
  <c r="I113" i="3"/>
  <c r="J113" i="3" s="1" a="1"/>
  <c r="J113" i="3" s="1"/>
  <c r="G113" i="3"/>
  <c r="H113" i="3" s="1" a="1"/>
  <c r="H113" i="3" s="1"/>
  <c r="E113" i="3"/>
  <c r="F113" i="3" s="1" a="1"/>
  <c r="F113" i="3" s="1"/>
  <c r="K111" i="3"/>
  <c r="L111" i="3" s="1" a="1"/>
  <c r="L111" i="3" s="1"/>
  <c r="I111" i="3"/>
  <c r="J111" i="3" s="1" a="1"/>
  <c r="J111" i="3" s="1"/>
  <c r="G111" i="3"/>
  <c r="H111" i="3" s="1" a="1"/>
  <c r="H111" i="3" s="1"/>
  <c r="E111" i="3"/>
  <c r="F111" i="3" s="1" a="1"/>
  <c r="F111" i="3" s="1"/>
  <c r="K109" i="3"/>
  <c r="L109" i="3" s="1" a="1"/>
  <c r="L109" i="3" s="1"/>
  <c r="I109" i="3"/>
  <c r="J109" i="3" s="1" a="1"/>
  <c r="J109" i="3" s="1"/>
  <c r="G109" i="3"/>
  <c r="H109" i="3" s="1" a="1"/>
  <c r="H109" i="3" s="1"/>
  <c r="E109" i="3"/>
  <c r="F109" i="3" s="1" a="1"/>
  <c r="F109" i="3" s="1"/>
  <c r="K107" i="3"/>
  <c r="L107" i="3" s="1" a="1"/>
  <c r="L107" i="3" s="1"/>
  <c r="I107" i="3"/>
  <c r="J107" i="3" s="1" a="1"/>
  <c r="J107" i="3" s="1"/>
  <c r="G107" i="3"/>
  <c r="H107" i="3" s="1" a="1"/>
  <c r="H107" i="3" s="1"/>
  <c r="E107" i="3"/>
  <c r="F107" i="3" s="1" a="1"/>
  <c r="F107" i="3" s="1"/>
  <c r="K105" i="3"/>
  <c r="L105" i="3" s="1" a="1"/>
  <c r="L105" i="3" s="1"/>
  <c r="I105" i="3"/>
  <c r="J105" i="3" s="1" a="1"/>
  <c r="J105" i="3" s="1"/>
  <c r="G105" i="3"/>
  <c r="H105" i="3" s="1" a="1"/>
  <c r="H105" i="3" s="1"/>
  <c r="E105" i="3"/>
  <c r="F105" i="3" s="1" a="1"/>
  <c r="F105" i="3" s="1"/>
  <c r="K103" i="3"/>
  <c r="L103" i="3" s="1" a="1"/>
  <c r="L103" i="3" s="1"/>
  <c r="I103" i="3"/>
  <c r="J103" i="3" s="1" a="1"/>
  <c r="J103" i="3" s="1"/>
  <c r="G103" i="3"/>
  <c r="H103" i="3" s="1" a="1"/>
  <c r="H103" i="3" s="1"/>
  <c r="E103" i="3"/>
  <c r="F103" i="3" s="1" a="1"/>
  <c r="F103" i="3" s="1"/>
  <c r="K101" i="3"/>
  <c r="L101" i="3" s="1" a="1"/>
  <c r="L101" i="3" s="1"/>
  <c r="I101" i="3"/>
  <c r="J101" i="3" s="1" a="1"/>
  <c r="J101" i="3" s="1"/>
  <c r="G101" i="3"/>
  <c r="H101" i="3" s="1" a="1"/>
  <c r="H101" i="3" s="1"/>
  <c r="E101" i="3"/>
  <c r="F101" i="3" s="1" a="1"/>
  <c r="F101" i="3" s="1"/>
  <c r="K99" i="3"/>
  <c r="L99" i="3" s="1" a="1"/>
  <c r="L99" i="3" s="1"/>
  <c r="I99" i="3"/>
  <c r="J99" i="3" s="1" a="1"/>
  <c r="J99" i="3" s="1"/>
  <c r="G99" i="3"/>
  <c r="H99" i="3" s="1" a="1"/>
  <c r="H99" i="3" s="1"/>
  <c r="E99" i="3"/>
  <c r="F99" i="3" s="1" a="1"/>
  <c r="F99" i="3" s="1"/>
  <c r="K97" i="3"/>
  <c r="L97" i="3" s="1" a="1"/>
  <c r="L97" i="3" s="1"/>
  <c r="I97" i="3"/>
  <c r="J97" i="3" s="1" a="1"/>
  <c r="J97" i="3" s="1"/>
  <c r="G97" i="3"/>
  <c r="H97" i="3" s="1" a="1"/>
  <c r="H97" i="3" s="1"/>
  <c r="E97" i="3"/>
  <c r="F97" i="3" s="1" a="1"/>
  <c r="F97" i="3" s="1"/>
  <c r="K95" i="3"/>
  <c r="L95" i="3" s="1" a="1"/>
  <c r="L95" i="3" s="1"/>
  <c r="I95" i="3"/>
  <c r="J95" i="3" s="1" a="1"/>
  <c r="J95" i="3" s="1"/>
  <c r="G95" i="3"/>
  <c r="H95" i="3" s="1" a="1"/>
  <c r="H95" i="3" s="1"/>
  <c r="E95" i="3"/>
  <c r="F95" i="3" s="1" a="1"/>
  <c r="F95" i="3" s="1"/>
  <c r="K93" i="3"/>
  <c r="L93" i="3" s="1" a="1"/>
  <c r="L93" i="3" s="1"/>
  <c r="I93" i="3"/>
  <c r="J93" i="3" s="1" a="1"/>
  <c r="J93" i="3" s="1"/>
  <c r="G93" i="3"/>
  <c r="H93" i="3" s="1" a="1"/>
  <c r="H93" i="3" s="1"/>
  <c r="E93" i="3"/>
  <c r="F93" i="3" s="1" a="1"/>
  <c r="F93" i="3" s="1"/>
  <c r="K91" i="3"/>
  <c r="L91" i="3" s="1" a="1"/>
  <c r="L91" i="3" s="1"/>
  <c r="I91" i="3"/>
  <c r="J91" i="3" s="1" a="1"/>
  <c r="J91" i="3" s="1"/>
  <c r="G91" i="3"/>
  <c r="H91" i="3" s="1" a="1"/>
  <c r="H91" i="3" s="1"/>
  <c r="E91" i="3"/>
  <c r="F91" i="3" s="1" a="1"/>
  <c r="F91" i="3" s="1"/>
  <c r="K88" i="3"/>
  <c r="L88" i="3" s="1" a="1"/>
  <c r="L88" i="3" s="1"/>
  <c r="I88" i="3"/>
  <c r="J88" i="3" s="1" a="1"/>
  <c r="J88" i="3" s="1"/>
  <c r="G88" i="3"/>
  <c r="H88" i="3" s="1" a="1"/>
  <c r="H88" i="3" s="1"/>
  <c r="E88" i="3"/>
  <c r="F88" i="3" s="1" a="1"/>
  <c r="F88" i="3" s="1"/>
  <c r="K86" i="3"/>
  <c r="L86" i="3" s="1" a="1"/>
  <c r="L86" i="3" s="1"/>
  <c r="I86" i="3"/>
  <c r="J86" i="3" s="1" a="1"/>
  <c r="J86" i="3" s="1"/>
  <c r="G86" i="3"/>
  <c r="H86" i="3" s="1" a="1"/>
  <c r="H86" i="3" s="1"/>
  <c r="E86" i="3"/>
  <c r="F86" i="3" s="1" a="1"/>
  <c r="F86" i="3" s="1"/>
  <c r="K84" i="3"/>
  <c r="L84" i="3" s="1" a="1"/>
  <c r="L84" i="3" s="1"/>
  <c r="I84" i="3"/>
  <c r="J84" i="3" s="1" a="1"/>
  <c r="J84" i="3" s="1"/>
  <c r="G84" i="3"/>
  <c r="H84" i="3" s="1" a="1"/>
  <c r="H84" i="3" s="1"/>
  <c r="E84" i="3"/>
  <c r="F84" i="3" s="1" a="1"/>
  <c r="F84" i="3" s="1"/>
  <c r="K82" i="3"/>
  <c r="L82" i="3" s="1" a="1"/>
  <c r="L82" i="3" s="1"/>
  <c r="I82" i="3"/>
  <c r="J82" i="3" s="1" a="1"/>
  <c r="J82" i="3" s="1"/>
  <c r="G82" i="3"/>
  <c r="H82" i="3" s="1" a="1"/>
  <c r="H82" i="3" s="1"/>
  <c r="E82" i="3"/>
  <c r="F82" i="3" s="1" a="1"/>
  <c r="F82" i="3" s="1"/>
  <c r="K80" i="3"/>
  <c r="L80" i="3" s="1" a="1"/>
  <c r="L80" i="3" s="1"/>
  <c r="I80" i="3"/>
  <c r="J80" i="3" s="1" a="1"/>
  <c r="J80" i="3" s="1"/>
  <c r="G80" i="3"/>
  <c r="H80" i="3" s="1" a="1"/>
  <c r="H80" i="3" s="1"/>
  <c r="E80" i="3"/>
  <c r="F80" i="3" s="1" a="1"/>
  <c r="F80" i="3" s="1"/>
  <c r="K78" i="3"/>
  <c r="L78" i="3" s="1" a="1"/>
  <c r="L78" i="3" s="1"/>
  <c r="I78" i="3"/>
  <c r="J78" i="3" s="1" a="1"/>
  <c r="J78" i="3" s="1"/>
  <c r="G78" i="3"/>
  <c r="H78" i="3" s="1" a="1"/>
  <c r="H78" i="3" s="1"/>
  <c r="E78" i="3"/>
  <c r="F78" i="3" s="1" a="1"/>
  <c r="F78" i="3" s="1"/>
  <c r="K76" i="3"/>
  <c r="L76" i="3" s="1" a="1"/>
  <c r="L76" i="3" s="1"/>
  <c r="I76" i="3"/>
  <c r="J76" i="3" a="1"/>
  <c r="J76" i="3" s="1"/>
  <c r="G76" i="3"/>
  <c r="H76" i="3" s="1" a="1"/>
  <c r="H76" i="3" s="1"/>
  <c r="E76" i="3"/>
  <c r="F76" i="3" s="1" a="1"/>
  <c r="F76" i="3" s="1"/>
  <c r="K74" i="3"/>
  <c r="L74" i="3" s="1" a="1"/>
  <c r="L74" i="3" s="1"/>
  <c r="I74" i="3"/>
  <c r="J74" i="3" s="1" a="1"/>
  <c r="J74" i="3" s="1"/>
  <c r="G74" i="3"/>
  <c r="H74" i="3" s="1" a="1"/>
  <c r="H74" i="3" s="1"/>
  <c r="E74" i="3"/>
  <c r="F74" i="3" s="1" a="1"/>
  <c r="F74" i="3" s="1"/>
  <c r="K72" i="3"/>
  <c r="L72" i="3" s="1" a="1"/>
  <c r="L72" i="3" s="1"/>
  <c r="I72" i="3"/>
  <c r="J72" i="3" s="1" a="1"/>
  <c r="J72" i="3" s="1"/>
  <c r="G72" i="3"/>
  <c r="H72" i="3" s="1" a="1"/>
  <c r="H72" i="3" s="1"/>
  <c r="E72" i="3"/>
  <c r="F72" i="3" s="1" a="1"/>
  <c r="F72" i="3" s="1"/>
  <c r="K70" i="3"/>
  <c r="L70" i="3" s="1" a="1"/>
  <c r="L70" i="3" s="1"/>
  <c r="I70" i="3"/>
  <c r="J70" i="3" s="1" a="1"/>
  <c r="J70" i="3" s="1"/>
  <c r="G70" i="3"/>
  <c r="H70" i="3" s="1" a="1"/>
  <c r="H70" i="3" s="1"/>
  <c r="E70" i="3"/>
  <c r="F70" i="3" s="1" a="1"/>
  <c r="F70" i="3" s="1"/>
  <c r="K67" i="3"/>
  <c r="L67" i="3" s="1" a="1"/>
  <c r="L67" i="3" s="1"/>
  <c r="I67" i="3"/>
  <c r="J67" i="3" s="1" a="1"/>
  <c r="J67" i="3" s="1"/>
  <c r="G67" i="3"/>
  <c r="H67" i="3" s="1" a="1"/>
  <c r="H67" i="3" s="1"/>
  <c r="E67" i="3"/>
  <c r="F67" i="3" s="1" a="1"/>
  <c r="F67" i="3" s="1"/>
  <c r="K65" i="3"/>
  <c r="L65" i="3" s="1" a="1"/>
  <c r="L65" i="3" s="1"/>
  <c r="I65" i="3"/>
  <c r="J65" i="3" s="1" a="1"/>
  <c r="J65" i="3" s="1"/>
  <c r="G65" i="3"/>
  <c r="H65" i="3" s="1" a="1"/>
  <c r="H65" i="3" s="1"/>
  <c r="E65" i="3"/>
  <c r="F65" i="3" s="1" a="1"/>
  <c r="F65" i="3" s="1"/>
  <c r="K63" i="3"/>
  <c r="L63" i="3" s="1" a="1"/>
  <c r="L63" i="3" s="1"/>
  <c r="I63" i="3"/>
  <c r="J63" i="3" s="1" a="1"/>
  <c r="J63" i="3" s="1"/>
  <c r="G63" i="3"/>
  <c r="H63" i="3" s="1" a="1"/>
  <c r="H63" i="3" s="1"/>
  <c r="E63" i="3"/>
  <c r="F63" i="3" s="1" a="1"/>
  <c r="F63" i="3" s="1"/>
  <c r="K61" i="3"/>
  <c r="L61" i="3" s="1" a="1"/>
  <c r="L61" i="3" s="1"/>
  <c r="I61" i="3"/>
  <c r="J61" i="3" s="1" a="1"/>
  <c r="J61" i="3" s="1"/>
  <c r="G61" i="3"/>
  <c r="H61" i="3" s="1" a="1"/>
  <c r="H61" i="3" s="1"/>
  <c r="E61" i="3"/>
  <c r="F61" i="3" s="1" a="1"/>
  <c r="F61" i="3" s="1"/>
  <c r="K59" i="3"/>
  <c r="L59" i="3" s="1" a="1"/>
  <c r="L59" i="3" s="1"/>
  <c r="I59" i="3"/>
  <c r="J59" i="3" s="1" a="1"/>
  <c r="J59" i="3" s="1"/>
  <c r="G59" i="3"/>
  <c r="H59" i="3" s="1" a="1"/>
  <c r="H59" i="3" s="1"/>
  <c r="E59" i="3"/>
  <c r="F59" i="3" s="1" a="1"/>
  <c r="F59" i="3" s="1"/>
  <c r="K57" i="3"/>
  <c r="L57" i="3" s="1" a="1"/>
  <c r="L57" i="3" s="1"/>
  <c r="I57" i="3"/>
  <c r="J57" i="3" s="1" a="1"/>
  <c r="J57" i="3" s="1"/>
  <c r="G57" i="3"/>
  <c r="H57" i="3" s="1" a="1"/>
  <c r="H57" i="3" s="1"/>
  <c r="E57" i="3"/>
  <c r="F57" i="3" s="1" a="1"/>
  <c r="F57" i="3" s="1"/>
  <c r="K55" i="3"/>
  <c r="L55" i="3" s="1" a="1"/>
  <c r="L55" i="3" s="1"/>
  <c r="I55" i="3"/>
  <c r="J55" i="3" s="1" a="1"/>
  <c r="J55" i="3" s="1"/>
  <c r="G55" i="3"/>
  <c r="H55" i="3" s="1" a="1"/>
  <c r="H55" i="3" s="1"/>
  <c r="E55" i="3"/>
  <c r="F55" i="3" s="1" a="1"/>
  <c r="F55" i="3" s="1"/>
  <c r="K53" i="3"/>
  <c r="L53" i="3" s="1" a="1"/>
  <c r="L53" i="3" s="1"/>
  <c r="I53" i="3"/>
  <c r="J53" i="3" s="1" a="1"/>
  <c r="J53" i="3" s="1"/>
  <c r="G53" i="3"/>
  <c r="H53" i="3" s="1" a="1"/>
  <c r="H53" i="3" s="1"/>
  <c r="E53" i="3"/>
  <c r="F53" i="3" s="1" a="1"/>
  <c r="F53" i="3" s="1"/>
  <c r="K51" i="3"/>
  <c r="L51" i="3" s="1" a="1"/>
  <c r="L51" i="3" s="1"/>
  <c r="I51" i="3"/>
  <c r="J51" i="3" s="1" a="1"/>
  <c r="J51" i="3" s="1"/>
  <c r="G51" i="3"/>
  <c r="H51" i="3" s="1" a="1"/>
  <c r="H51" i="3" s="1"/>
  <c r="E51" i="3"/>
  <c r="F51" i="3" s="1" a="1"/>
  <c r="F51" i="3" s="1"/>
  <c r="K49" i="3"/>
  <c r="L49" i="3" s="1" a="1"/>
  <c r="L49" i="3" s="1"/>
  <c r="I49" i="3"/>
  <c r="J49" i="3" s="1" a="1"/>
  <c r="J49" i="3" s="1"/>
  <c r="G49" i="3"/>
  <c r="H49" i="3" s="1" a="1"/>
  <c r="H49" i="3" s="1"/>
  <c r="E49" i="3"/>
  <c r="F49" i="3" s="1" a="1"/>
  <c r="F49" i="3" s="1"/>
  <c r="K46" i="3"/>
  <c r="L46" i="3" s="1" a="1"/>
  <c r="L46" i="3" s="1"/>
  <c r="I46" i="3"/>
  <c r="J46" i="3" s="1" a="1"/>
  <c r="J46" i="3" s="1"/>
  <c r="G46" i="3"/>
  <c r="H46" i="3" s="1" a="1"/>
  <c r="H46" i="3" s="1"/>
  <c r="E46" i="3"/>
  <c r="F46" i="3" s="1" a="1"/>
  <c r="F46" i="3" s="1"/>
  <c r="K44" i="3"/>
  <c r="L44" i="3" s="1" a="1"/>
  <c r="L44" i="3" s="1"/>
  <c r="I44" i="3"/>
  <c r="J44" i="3" s="1" a="1"/>
  <c r="J44" i="3" s="1"/>
  <c r="G44" i="3"/>
  <c r="H44" i="3" s="1" a="1"/>
  <c r="H44" i="3" s="1"/>
  <c r="E44" i="3"/>
  <c r="F44" i="3" s="1" a="1"/>
  <c r="F44" i="3" s="1"/>
  <c r="K42" i="3"/>
  <c r="L42" i="3" s="1" a="1"/>
  <c r="L42" i="3" s="1"/>
  <c r="I42" i="3"/>
  <c r="J42" i="3" a="1"/>
  <c r="J42" i="3" s="1"/>
  <c r="G42" i="3"/>
  <c r="H42" i="3" s="1" a="1"/>
  <c r="H42" i="3" s="1"/>
  <c r="E42" i="3"/>
  <c r="F42" i="3" s="1" a="1"/>
  <c r="F42" i="3" s="1"/>
  <c r="K38" i="3"/>
  <c r="L38" i="3" s="1" a="1"/>
  <c r="L38" i="3" s="1"/>
  <c r="I38" i="3"/>
  <c r="J38" i="3" s="1" a="1"/>
  <c r="J38" i="3" s="1"/>
  <c r="G38" i="3"/>
  <c r="H38" i="3" s="1" a="1"/>
  <c r="H38" i="3" s="1"/>
  <c r="E38" i="3"/>
  <c r="F38" i="3" s="1" a="1"/>
  <c r="F38" i="3" s="1"/>
  <c r="K36" i="3"/>
  <c r="L36" i="3" s="1" a="1"/>
  <c r="L36" i="3" s="1"/>
  <c r="I36" i="3"/>
  <c r="J36" i="3" s="1" a="1"/>
  <c r="J36" i="3" s="1"/>
  <c r="G36" i="3"/>
  <c r="H36" i="3" s="1" a="1"/>
  <c r="H36" i="3" s="1"/>
  <c r="E36" i="3"/>
  <c r="F36" i="3" s="1" a="1"/>
  <c r="F36" i="3" s="1"/>
  <c r="K34" i="3"/>
  <c r="L34" i="3" s="1" a="1"/>
  <c r="L34" i="3" s="1"/>
  <c r="I34" i="3"/>
  <c r="J34" i="3" s="1" a="1"/>
  <c r="J34" i="3" s="1"/>
  <c r="G34" i="3"/>
  <c r="H34" i="3" s="1" a="1"/>
  <c r="H34" i="3" s="1"/>
  <c r="E34" i="3"/>
  <c r="F34" i="3" s="1" a="1"/>
  <c r="F34" i="3" s="1"/>
  <c r="K30" i="3"/>
  <c r="L30" i="3" s="1" a="1"/>
  <c r="L30" i="3" s="1"/>
  <c r="I30" i="3"/>
  <c r="J30" i="3" s="1" a="1"/>
  <c r="J30" i="3" s="1"/>
  <c r="G30" i="3"/>
  <c r="H30" i="3" s="1" a="1"/>
  <c r="H30" i="3" s="1"/>
  <c r="E30" i="3"/>
  <c r="F30" i="3" s="1" a="1"/>
  <c r="F30" i="3" s="1"/>
  <c r="K28" i="3"/>
  <c r="L28" i="3" s="1" a="1"/>
  <c r="L28" i="3" s="1"/>
  <c r="I28" i="3"/>
  <c r="J28" i="3" s="1" a="1"/>
  <c r="J28" i="3" s="1"/>
  <c r="G28" i="3"/>
  <c r="H28" i="3" s="1" a="1"/>
  <c r="H28" i="3" s="1"/>
  <c r="E28" i="3"/>
  <c r="F28" i="3" s="1" a="1"/>
  <c r="F28" i="3" s="1"/>
  <c r="K25" i="3"/>
  <c r="L25" i="3" s="1" a="1"/>
  <c r="L25" i="3" s="1"/>
  <c r="I25" i="3"/>
  <c r="J25" i="3" s="1" a="1"/>
  <c r="J25" i="3" s="1"/>
  <c r="G25" i="3"/>
  <c r="H25" i="3" s="1" a="1"/>
  <c r="H25" i="3" s="1"/>
  <c r="E25" i="3"/>
  <c r="F25" i="3" s="1" a="1"/>
  <c r="F25" i="3" s="1"/>
  <c r="K23" i="3"/>
  <c r="L23" i="3" s="1" a="1"/>
  <c r="L23" i="3" s="1"/>
  <c r="I23" i="3"/>
  <c r="J23" i="3" s="1" a="1"/>
  <c r="J23" i="3" s="1"/>
  <c r="G23" i="3"/>
  <c r="H23" i="3" s="1" a="1"/>
  <c r="H23" i="3" s="1"/>
  <c r="E23" i="3"/>
  <c r="F23" i="3" s="1" a="1"/>
  <c r="F23" i="3" s="1"/>
  <c r="K21" i="3"/>
  <c r="L21" i="3" s="1" a="1"/>
  <c r="L21" i="3" s="1"/>
  <c r="I21" i="3"/>
  <c r="J21" i="3" s="1" a="1"/>
  <c r="J21" i="3" s="1"/>
  <c r="G21" i="3"/>
  <c r="H21" i="3" s="1" a="1"/>
  <c r="H21" i="3" s="1"/>
  <c r="F21" i="3" a="1"/>
  <c r="F21" i="3" s="1"/>
  <c r="K19" i="3"/>
  <c r="L19" i="3" s="1" a="1"/>
  <c r="L19" i="3" s="1"/>
  <c r="I19" i="3"/>
  <c r="J19" i="3" s="1" a="1"/>
  <c r="J19" i="3" s="1"/>
  <c r="G19" i="3"/>
  <c r="H19" i="3" s="1" a="1"/>
  <c r="H19" i="3" s="1"/>
  <c r="E19" i="3"/>
  <c r="F19" i="3" s="1" a="1"/>
  <c r="F19" i="3" s="1"/>
  <c r="K17" i="3"/>
  <c r="L17" i="3" s="1" a="1"/>
  <c r="L17" i="3" s="1"/>
  <c r="I17" i="3"/>
  <c r="J17" i="3" s="1" a="1"/>
  <c r="J17" i="3" s="1"/>
  <c r="G17" i="3"/>
  <c r="H17" i="3" s="1" a="1"/>
  <c r="H17" i="3" s="1"/>
  <c r="E17" i="3"/>
  <c r="F17" i="3" s="1" a="1"/>
  <c r="F17" i="3" s="1"/>
  <c r="K15" i="3"/>
  <c r="L15" i="3" s="1" a="1"/>
  <c r="L15" i="3" s="1"/>
  <c r="I15" i="3"/>
  <c r="J15" i="3" s="1" a="1"/>
  <c r="J15" i="3" s="1"/>
  <c r="G15" i="3"/>
  <c r="H15" i="3" s="1" a="1"/>
  <c r="H15" i="3" s="1"/>
  <c r="E15" i="3"/>
  <c r="F15" i="3" s="1" a="1"/>
  <c r="F15" i="3" s="1"/>
  <c r="K13" i="3"/>
  <c r="L13" i="3" s="1" a="1"/>
  <c r="L13" i="3" s="1"/>
  <c r="I13" i="3"/>
  <c r="J13" i="3" s="1" a="1"/>
  <c r="J13" i="3" s="1"/>
  <c r="G13" i="3"/>
  <c r="H13" i="3" s="1" a="1"/>
  <c r="H13" i="3" s="1"/>
  <c r="E13" i="3"/>
  <c r="F13" i="3" s="1" a="1"/>
  <c r="F13" i="3" s="1"/>
  <c r="K11" i="3"/>
  <c r="L11" i="3" s="1" a="1"/>
  <c r="L11" i="3" s="1"/>
  <c r="I11" i="3"/>
  <c r="J11" i="3" s="1" a="1"/>
  <c r="J11" i="3" s="1"/>
  <c r="G11" i="3"/>
  <c r="H11" i="3" s="1" a="1"/>
  <c r="H11" i="3" s="1"/>
  <c r="E11" i="3"/>
  <c r="F11" i="3" s="1" a="1"/>
  <c r="F11" i="3" s="1"/>
  <c r="K9" i="3"/>
  <c r="L9" i="3" s="1" a="1"/>
  <c r="L9" i="3" s="1"/>
  <c r="I9" i="3"/>
  <c r="J9" i="3" s="1" a="1"/>
  <c r="J9" i="3" s="1"/>
  <c r="G9" i="3"/>
  <c r="H9" i="3" s="1" a="1"/>
  <c r="H9" i="3" s="1"/>
  <c r="E9" i="3"/>
  <c r="F9" i="3" s="1" a="1"/>
  <c r="F9" i="3" s="1"/>
  <c r="Q11" i="3"/>
  <c r="K7" i="3"/>
  <c r="L7" i="3" s="1" a="1"/>
  <c r="L7" i="3" s="1"/>
  <c r="I7" i="3"/>
  <c r="J7" i="3" s="1" a="1"/>
  <c r="J7" i="3" s="1"/>
  <c r="G7" i="3"/>
  <c r="E7" i="3"/>
  <c r="Q10" i="3"/>
  <c r="Q8" i="3"/>
  <c r="G26" i="3" l="1"/>
  <c r="G47" i="3" s="1"/>
  <c r="G68" i="3" s="1"/>
  <c r="G89" i="3" s="1"/>
  <c r="G116" i="3" s="1"/>
  <c r="X9" i="3" s="1"/>
  <c r="E26" i="3"/>
  <c r="E47" i="3" s="1"/>
  <c r="E68" i="3" s="1"/>
  <c r="E89" i="3" s="1"/>
  <c r="E116" i="3" s="1"/>
  <c r="X8" i="3" s="1"/>
  <c r="I26" i="3"/>
  <c r="I47" i="3" s="1"/>
  <c r="I68" i="3" s="1"/>
  <c r="I89" i="3" s="1"/>
  <c r="I116" i="3" s="1"/>
  <c r="X10" i="3" s="1"/>
  <c r="F7" i="3" a="1"/>
  <c r="F7" i="3" s="1"/>
  <c r="R8" i="3" s="1"/>
  <c r="H7" i="3" a="1"/>
  <c r="H7" i="3" s="1"/>
  <c r="V9" i="3" s="1"/>
  <c r="K26" i="3"/>
  <c r="K47" i="3" s="1"/>
  <c r="K68" i="3" s="1"/>
  <c r="K89" i="3" s="1"/>
  <c r="K116" i="3" s="1"/>
  <c r="X11" i="3" s="1"/>
  <c r="V10" i="3"/>
  <c r="U10" i="3"/>
  <c r="T10" i="3"/>
  <c r="S10" i="3"/>
  <c r="R10" i="3"/>
  <c r="W10" i="3"/>
  <c r="T11" i="3"/>
  <c r="S11" i="3"/>
  <c r="V11" i="3"/>
  <c r="R11" i="3"/>
  <c r="W11" i="3"/>
  <c r="U11" i="3"/>
  <c r="W8" i="3" l="1"/>
  <c r="T8" i="3"/>
  <c r="U8" i="3"/>
  <c r="V8" i="3"/>
  <c r="S8" i="3"/>
  <c r="U9" i="3"/>
  <c r="R9" i="3"/>
  <c r="S9" i="3"/>
  <c r="T9" i="3"/>
  <c r="W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tc={C3BF1ECB-5596-487D-8CF3-21C63F4B4B78}</author>
    <author>tc={D1875FC7-ED8F-46F6-908E-A76D87D51465}</author>
    <author>tc={7E1B97B4-7A6E-4375-8D9D-0294A162A76A}</author>
    <author>tc={498BA5E0-6D22-4840-AE9C-2B7BC8BA68C1}</author>
    <author>tc={701900C6-219E-4D85-8092-D86E08EC2D6C}</author>
    <author>tc={2E2A4A7E-3517-42B0-872A-B07BB55F6D80}</author>
    <author>tc={E6466F2F-596B-4254-832A-7BBF653D7952}</author>
    <author>tc={8EEE1CBF-2127-4DA4-A9A5-44B997671D6C}</author>
    <author>tc={FE5DD5B0-9645-4D35-B431-D0229BDF76F6}</author>
    <author>tc={824D3ECF-405B-4DC8-A0F8-CC408EFD8B21}</author>
  </authors>
  <commentList>
    <comment ref="G31" authorId="0" shapeId="0" xr:uid="{C3BF1ECB-5596-487D-8CF3-21C63F4B4B78}">
      <text>
        <t>[Threaded comment]
Your version of Excel allows you to read this threaded comment; however, any edits to it will get removed if the file is opened in a newer version of Excel. Learn more: https://go.microsoft.com/fwlink/?linkid=870924
Comment:
    Swimmer 2 left before swimmer 1 touched</t>
      </text>
    </comment>
    <comment ref="K35" authorId="1" shapeId="0" xr:uid="{D1875FC7-ED8F-46F6-908E-A76D87D51465}">
      <text>
        <t>[Threaded comment]
Your version of Excel allows you to read this threaded comment; however, any edits to it will get removed if the file is opened in a newer version of Excel. Learn more: https://go.microsoft.com/fwlink/?linkid=870924
Comment:
    Swimmer 2 left wall before swimmer 1 touched</t>
      </text>
    </comment>
    <comment ref="G37" authorId="2" shapeId="0" xr:uid="{7E1B97B4-7A6E-4375-8D9D-0294A162A76A}">
      <text>
        <t>[Threaded comment]
Your version of Excel allows you to read this threaded comment; however, any edits to it will get removed if the file is opened in a newer version of Excel. Learn more: https://go.microsoft.com/fwlink/?linkid=870924
Comment:
    Went before start</t>
      </text>
    </comment>
    <comment ref="G56" authorId="3" shapeId="0" xr:uid="{498BA5E0-6D22-4840-AE9C-2B7BC8BA68C1}">
      <text>
        <t>[Threaded comment]
Your version of Excel allows you to read this threaded comment; however, any edits to it will get removed if the file is opened in a newer version of Excel. Learn more: https://go.microsoft.com/fwlink/?linkid=870924
Comment:
    8.3 (breaststroke legs on fly)</t>
      </text>
    </comment>
    <comment ref="I58" authorId="4" shapeId="0" xr:uid="{701900C6-219E-4D85-8092-D86E08EC2D6C}">
      <text>
        <t>[Threaded comment]
Your version of Excel allows you to read this threaded comment; however, any edits to it will get removed if the file is opened in a newer version of Excel. Learn more: https://go.microsoft.com/fwlink/?linkid=870924
Comment:
    7.1 (more than one downward butterfly kick prior to first breaststroke kick)</t>
      </text>
    </comment>
    <comment ref="I71" authorId="5" shapeId="0" xr:uid="{2E2A4A7E-3517-42B0-872A-B07BB55F6D80}">
      <text>
        <t>[Threaded comment]
Your version of Excel allows you to read this threaded comment; however, any edits to it will get removed if the file is opened in a newer version of Excel. Learn more: https://go.microsoft.com/fwlink/?linkid=870924
Comment:
    4.4 (start before signal)</t>
      </text>
    </comment>
    <comment ref="G77" authorId="6" shapeId="0" xr:uid="{E6466F2F-596B-4254-832A-7BBF653D7952}">
      <text>
        <t>[Threaded comment]
Your version of Excel allows you to read this threaded comment; however, any edits to it will get removed if the file is opened in a newer version of Excel. Learn more: https://go.microsoft.com/fwlink/?linkid=870924
Comment:
    4.4 (went before start)</t>
      </text>
    </comment>
    <comment ref="E83" authorId="7" shapeId="0" xr:uid="{8EEE1CBF-2127-4DA4-A9A5-44B997671D6C}">
      <text>
        <t>[Threaded comment]
Your version of Excel allows you to read this threaded comment; however, any edits to it will get removed if the file is opened in a newer version of Excel. Learn more: https://go.microsoft.com/fwlink/?linkid=870924
Comment:
    4.4 (went before start)</t>
      </text>
    </comment>
    <comment ref="K92" authorId="8" shapeId="0" xr:uid="{FE5DD5B0-9645-4D35-B431-D0229BDF76F6}">
      <text>
        <t>[Threaded comment]
Your version of Excel allows you to read this threaded comment; however, any edits to it will get removed if the file is opened in a newer version of Excel. Learn more: https://go.microsoft.com/fwlink/?linkid=870924
Comment:
    Chief TK time as timekeeper watch stopped</t>
      </text>
    </comment>
    <comment ref="K98" authorId="9" shapeId="0" xr:uid="{824D3ECF-405B-4DC8-A0F8-CC408EFD8B21}">
      <text>
        <t>[Threaded comment]
Your version of Excel allows you to read this threaded comment; however, any edits to it will get removed if the file is opened in a newer version of Excel. Learn more: https://go.microsoft.com/fwlink/?linkid=870924
Comment:
    7.1 (head did not break surface - two arm pulls under water)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<sst xmlns="http://schemas.openxmlformats.org/spreadsheetml/2006/main" count="200" uniqueCount="87">
  <si>
    <t xml:space="preserve">Cotswold Gala - Results </t>
  </si>
  <si>
    <t>Lane 1</t>
  </si>
  <si>
    <t>Lane 2</t>
  </si>
  <si>
    <t>1st Places</t>
  </si>
  <si>
    <t>2nd Places</t>
  </si>
  <si>
    <t>DQs</t>
  </si>
  <si>
    <t>Too Fast</t>
  </si>
  <si>
    <t>Points</t>
  </si>
  <si>
    <t>Event No.</t>
  </si>
  <si>
    <t>Event / Stroke</t>
  </si>
  <si>
    <t>Distance</t>
  </si>
  <si>
    <t>Cut Off Time</t>
  </si>
  <si>
    <t>Time</t>
  </si>
  <si>
    <t>Girls 15/u 4x1 Ind. Medley</t>
  </si>
  <si>
    <t>100m</t>
  </si>
  <si>
    <r>
      <rPr>
        <b/>
        <sz val="11"/>
        <color rgb="FFFF0000"/>
        <rFont val="Calibri"/>
        <family val="2"/>
        <scheme val="minor"/>
      </rPr>
      <t>Points</t>
    </r>
    <r>
      <rPr>
        <sz val="11"/>
        <color theme="1"/>
        <rFont val="Calibri"/>
        <family val="2"/>
        <scheme val="minor"/>
      </rPr>
      <t xml:space="preserve"> / Place</t>
    </r>
  </si>
  <si>
    <t>Boys 15/u 4x1 Ind. Medley</t>
  </si>
  <si>
    <t>Girls Open 4x1 Ind. Medley</t>
  </si>
  <si>
    <t>Boys Open 4x1 Ind. Medley</t>
  </si>
  <si>
    <t>Girls 11/u 25m Freestyle</t>
  </si>
  <si>
    <t>25m</t>
  </si>
  <si>
    <t>Boys 11/u 25m Freestyle</t>
  </si>
  <si>
    <t>Girls 13/u 50m Breaststroke</t>
  </si>
  <si>
    <t>50m</t>
  </si>
  <si>
    <t>Boys 13/u 50m Breaststroke</t>
  </si>
  <si>
    <t>Girls 15/u 50m Backstroke</t>
  </si>
  <si>
    <t>Boys 15/u 50m Backstroke</t>
  </si>
  <si>
    <t>POINTS TOTAL after 10 events</t>
  </si>
  <si>
    <t>Girls Open 100m Butterfly</t>
  </si>
  <si>
    <t>Boys Open 100m Butterfly</t>
  </si>
  <si>
    <t>Girls 11/u 4x1 Medley team</t>
  </si>
  <si>
    <t>Boys 11/u 4x1 Medley team</t>
  </si>
  <si>
    <t>Girls 13/u 4x1 Freestyle team</t>
  </si>
  <si>
    <t>Boys 13/u 4x1 Freestyle team</t>
  </si>
  <si>
    <t>Girls 15/u 50m Breaststroke</t>
  </si>
  <si>
    <t>Boys 15/u 50m Breaststroke</t>
  </si>
  <si>
    <t>Girls Open 100m Backstroke</t>
  </si>
  <si>
    <t>Boys Open 100m Backstroke</t>
  </si>
  <si>
    <t>POINTS TOTAL after 20 events</t>
  </si>
  <si>
    <t>Girls 11/u 25m Butterfly</t>
  </si>
  <si>
    <t>Boys 11/u 25m Butterfly</t>
  </si>
  <si>
    <t>Girls 13/u 50m Freestyle</t>
  </si>
  <si>
    <t>Boys 13/u 50m Freestyle</t>
  </si>
  <si>
    <t>Girls 15/u 4x2 Medley team</t>
  </si>
  <si>
    <t>200m</t>
  </si>
  <si>
    <t>Boys 15/u 4x2 Medley team</t>
  </si>
  <si>
    <t>Girls Open 4x2 Medley team</t>
  </si>
  <si>
    <t>Boys Open 4x2 Medley team</t>
  </si>
  <si>
    <t>Girls 11/u 25m Backstroke</t>
  </si>
  <si>
    <t>Boys 11/u 25m Backstroke</t>
  </si>
  <si>
    <t>POINTS TOTAL after 30 events</t>
  </si>
  <si>
    <t>Girls 13/u 50m Butterfly</t>
  </si>
  <si>
    <t>Boys 13/u 50m Butterfly</t>
  </si>
  <si>
    <t>Girls 15/u 50m Freestyle</t>
  </si>
  <si>
    <t>Boys 15/u 50m Freestyle</t>
  </si>
  <si>
    <t>Girls Open 100m Breaststroke</t>
  </si>
  <si>
    <t>Boys Open 100m Breaststoke</t>
  </si>
  <si>
    <t>Girls 11/u 4x1 Freestyle team</t>
  </si>
  <si>
    <t>Boys 11/u 4x1 Freestyle team</t>
  </si>
  <si>
    <t>Girls 13/u 4x1 Medley team</t>
  </si>
  <si>
    <t>Boys 13/u 4x1 Medley team</t>
  </si>
  <si>
    <t>POINTS TOTAL after 40 events</t>
  </si>
  <si>
    <t>Girls 15/u 50m Butterfly</t>
  </si>
  <si>
    <t>Boys 15/u 50m Butterfly</t>
  </si>
  <si>
    <t>Girls Open 100m Freestyle</t>
  </si>
  <si>
    <t>Boys Open 100m Freestyle</t>
  </si>
  <si>
    <t>Girls 11/u 25m Breaststroke</t>
  </si>
  <si>
    <t>Boys 11/u 25m Breaststroke</t>
  </si>
  <si>
    <t>Girls 13/u 50m Backstroke</t>
  </si>
  <si>
    <t>Boys 13/u 50m Backstroke</t>
  </si>
  <si>
    <t>Girls 15/u 4x2 Freestyle team</t>
  </si>
  <si>
    <t>Boys 15/u 4x2 Freestyle team</t>
  </si>
  <si>
    <t>Girls Open 4x2 Freestyle team</t>
  </si>
  <si>
    <t>Boys Open 4x2 Freestyle team</t>
  </si>
  <si>
    <t>Cannon 8x1 Freestyle team</t>
  </si>
  <si>
    <t>POINTS TOTAL</t>
  </si>
  <si>
    <t>Lane 3</t>
  </si>
  <si>
    <t>3rd Places</t>
  </si>
  <si>
    <t>Lane 4</t>
  </si>
  <si>
    <t>Results Summary - Don't type in cells here</t>
  </si>
  <si>
    <t>4th Places</t>
  </si>
  <si>
    <t>Wells</t>
  </si>
  <si>
    <t>Severnside Tritons</t>
  </si>
  <si>
    <t>Swindon</t>
  </si>
  <si>
    <t>Cwmbran ASC</t>
  </si>
  <si>
    <t>DQ</t>
  </si>
  <si>
    <t>2:11,62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</si>
</sst>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:ss.00"/>
  </numFmts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1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8">
    <xf numFmtId="0" fontId="0" fillId="0" borderId="0" xfId="0"/>
    <xf numFmtId="0" fontId="2" fillId="0" borderId="2" xfId="0" applyFont="1" applyBorder="1"/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5" fillId="3" borderId="4" xfId="0" applyFont="1" applyFill="1" applyBorder="1"/>
    <xf numFmtId="0" fontId="0" fillId="2" borderId="4" xfId="0" applyFill="1" applyBorder="1" applyAlignment="1">
      <alignment horizontal="center"/>
    </xf>
    <xf numFmtId="0" fontId="0" fillId="2" borderId="4" xfId="0" applyFill="1" applyBorder="1"/>
    <xf numFmtId="0" fontId="1" fillId="2" borderId="4" xfId="0" applyFont="1" applyFill="1" applyBorder="1" applyAlignment="1">
      <alignment horizontal="center"/>
    </xf>
    <xf numFmtId="0" fontId="0" fillId="3" borderId="4" xfId="0" applyFill="1" applyBorder="1" applyAlignment="1">
      <alignment horizontal="left" vertical="center"/>
    </xf>
    <xf numFmtId="1" fontId="1" fillId="2" borderId="4" xfId="0" applyNumberFormat="1" applyFont="1" applyFill="1" applyBorder="1" applyAlignment="1">
      <alignment horizontal="center"/>
    </xf>
    <xf numFmtId="0" fontId="3" fillId="0" borderId="4" xfId="0" applyFont="1" applyBorder="1"/>
    <xf numFmtId="1" fontId="3" fillId="0" borderId="4" xfId="0" applyNumberFormat="1" applyFont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2" fillId="0" borderId="4" xfId="0" applyFont="1" applyBorder="1"/>
    <xf numFmtId="0" fontId="0" fillId="0" borderId="4" xfId="0" applyBorder="1"/>
    <xf numFmtId="0" fontId="3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8" fillId="0" borderId="0" xfId="1"/>
    <xf numFmtId="0" fontId="2" fillId="0" borderId="4" xfId="0" applyFont="1" applyBorder="1" applyAlignment="1">
      <alignment horizontal="center"/>
    </xf>
    <xf numFmtId="164" fontId="0" fillId="4" borderId="4" xfId="0" applyNumberForma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9" fillId="0" borderId="7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164" fontId="0" fillId="0" borderId="4" xfId="0" applyNumberFormat="1" applyBorder="1" applyAlignment="1" applyProtection="1">
      <alignment horizontal="center"/>
      <protection locked="0"/>
    </xf>
    <xf numFmtId="164" fontId="0" fillId="0" borderId="7" xfId="0" applyNumberFormat="1" applyBorder="1" applyAlignment="1" applyProtection="1">
      <alignment horizontal="center"/>
      <protection locked="0"/>
    </xf>
    <xf numFmtId="164" fontId="0" fillId="0" borderId="5" xfId="0" applyNumberFormat="1" applyBorder="1" applyAlignment="1" applyProtection="1">
      <alignment horizontal="center"/>
      <protection locked="0"/>
    </xf>
  </cellXfs>
  <cellStyles count="2">
    <cellStyle name="Hyperlink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3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2.xml"/><Relationship Id="rId4" Type="http://schemas.openxmlformats.org/officeDocument/2006/relationships/styles" Target="styles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14</xdr:col>
      <xdr:colOff>166007</xdr:colOff>
      <xdr:row>24</xdr:row>
      <xdr:rowOff>73478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71898622-95E5-4C9C-A9BE-FB4C5BAAE977}"/>
            </a:ext>
          </a:extLst>
        </xdr:cNvPr>
        <xdr:cNvSpPr/>
      </xdr:nvSpPr>
      <xdr:spPr>
        <a:xfrm>
          <a:off x="0" y="184150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4</xdr:col>
      <xdr:colOff>389165</xdr:colOff>
      <xdr:row>25</xdr:row>
      <xdr:rowOff>43541</xdr:rowOff>
    </xdr:from>
    <xdr:to>
      <xdr:col>6</xdr:col>
      <xdr:colOff>376465</xdr:colOff>
      <xdr:row>27</xdr:row>
      <xdr:rowOff>18141</xdr:rowOff>
    </xdr:to>
    <xdr:sp macro="" textlink="">
      <xdr:nvSpPr>
        <xdr:cNvPr id="5" name="Rectangle: Rounded Corner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3BBF48-9E7D-4150-9732-EA8BA7AD02B5}"/>
            </a:ext>
          </a:extLst>
        </xdr:cNvPr>
        <xdr:cNvSpPr/>
      </xdr:nvSpPr>
      <xdr:spPr>
        <a:xfrm>
          <a:off x="3202215" y="4647291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7</xdr:col>
      <xdr:colOff>205015</xdr:colOff>
      <xdr:row>25</xdr:row>
      <xdr:rowOff>49891</xdr:rowOff>
    </xdr:from>
    <xdr:to>
      <xdr:col>9</xdr:col>
      <xdr:colOff>192315</xdr:colOff>
      <xdr:row>27</xdr:row>
      <xdr:rowOff>24491</xdr:rowOff>
    </xdr:to>
    <xdr:sp macro="" textlink="">
      <xdr:nvSpPr>
        <xdr:cNvPr id="6" name="Rectangle: Rounded Corner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693FBB-AD90-4262-A807-38125FE9E7EE}"/>
            </a:ext>
          </a:extLst>
        </xdr:cNvPr>
        <xdr:cNvSpPr/>
      </xdr:nvSpPr>
      <xdr:spPr>
        <a:xfrm>
          <a:off x="4846865" y="4653641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117927</xdr:colOff>
      <xdr:row>11</xdr:row>
      <xdr:rowOff>145144</xdr:rowOff>
    </xdr:from>
    <xdr:to>
      <xdr:col>26</xdr:col>
      <xdr:colOff>112484</xdr:colOff>
      <xdr:row>35</xdr:row>
      <xdr:rowOff>99786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E6F205F-EECC-43E1-85E4-8F8DEB7E3E0D}"/>
            </a:ext>
          </a:extLst>
        </xdr:cNvPr>
        <xdr:cNvSpPr/>
      </xdr:nvSpPr>
      <xdr:spPr>
        <a:xfrm>
          <a:off x="10423070" y="2195287"/>
          <a:ext cx="9401628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as </a:t>
          </a:r>
          <a:r>
            <a:rPr lang="en-GB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[Host Team Name] Results 2026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</a:p>
        <a:p>
          <a:pPr algn="ctr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File &gt; Share &gt; Send A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Copy</a:t>
          </a:r>
          <a:endParaRPr lang="en-GB" sz="1200">
            <a:effectLst/>
          </a:endParaRPr>
        </a:p>
      </xdr:txBody>
    </xdr:sp>
    <xdr:clientData/>
  </xdr:twoCellAnchor>
  <xdr:twoCellAnchor>
    <xdr:from>
      <xdr:col>17</xdr:col>
      <xdr:colOff>689428</xdr:colOff>
      <xdr:row>36</xdr:row>
      <xdr:rowOff>72571</xdr:rowOff>
    </xdr:from>
    <xdr:to>
      <xdr:col>19</xdr:col>
      <xdr:colOff>317499</xdr:colOff>
      <xdr:row>38</xdr:row>
      <xdr:rowOff>52614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60A7CF-1CFB-4C56-BDB8-4E20114B595D}"/>
            </a:ext>
          </a:extLst>
        </xdr:cNvPr>
        <xdr:cNvSpPr/>
      </xdr:nvSpPr>
      <xdr:spPr>
        <a:xfrm>
          <a:off x="13951857" y="6658428"/>
          <a:ext cx="1206499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19</xdr:col>
      <xdr:colOff>755649</xdr:colOff>
      <xdr:row>36</xdr:row>
      <xdr:rowOff>78921</xdr:rowOff>
    </xdr:from>
    <xdr:to>
      <xdr:col>21</xdr:col>
      <xdr:colOff>383721</xdr:colOff>
      <xdr:row>38</xdr:row>
      <xdr:rowOff>58964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C45566D-EB12-4459-878E-E2106BD67596}"/>
            </a:ext>
          </a:extLst>
        </xdr:cNvPr>
        <xdr:cNvSpPr/>
      </xdr:nvSpPr>
      <xdr:spPr>
        <a:xfrm>
          <a:off x="15596506" y="6664778"/>
          <a:ext cx="1206501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ouise Cotton" id="{EB0D252D-48A6-4ADE-AC56-5BFF283B503A}" userId="c0da17c25d5b88af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31" dT="2026-02-14T14:33:45.39" personId="{EB0D252D-48A6-4ADE-AC56-5BFF283B503A}" id="{C3BF1ECB-5596-487D-8CF3-21C63F4B4B78}">
    <text>Swimmer 2 left before swimmer 1 touched</text>
  </threadedComment>
  <threadedComment ref="K35" dT="2026-02-14T14:39:50.14" personId="{EB0D252D-48A6-4ADE-AC56-5BFF283B503A}" id="{D1875FC7-ED8F-46F6-908E-A76D87D51465}">
    <text>Swimmer 2 left wall before swimmer 1 touched</text>
  </threadedComment>
  <threadedComment ref="G37" dT="2026-02-14T14:41:00.14" personId="{EB0D252D-48A6-4ADE-AC56-5BFF283B503A}" id="{7E1B97B4-7A6E-4375-8D9D-0294A162A76A}">
    <text>Went before start</text>
  </threadedComment>
  <threadedComment ref="G56" dT="2026-02-14T15:03:54.48" personId="{EB0D252D-48A6-4ADE-AC56-5BFF283B503A}" id="{498BA5E0-6D22-4840-AE9C-2B7BC8BA68C1}">
    <text>8.3 (breaststroke legs on fly)</text>
  </threadedComment>
  <threadedComment ref="I58" dT="2026-02-14T15:05:56.78" personId="{EB0D252D-48A6-4ADE-AC56-5BFF283B503A}" id="{701900C6-219E-4D85-8092-D86E08EC2D6C}">
    <text>7.1 (more than one downward butterfly kick prior to first breaststroke kick)</text>
  </threadedComment>
  <threadedComment ref="I71" dT="2026-02-14T15:18:20.31" personId="{EB0D252D-48A6-4ADE-AC56-5BFF283B503A}" id="{2E2A4A7E-3517-42B0-872A-B07BB55F6D80}">
    <text>4.4 (start before signal)</text>
  </threadedComment>
  <threadedComment ref="G77" dT="2026-02-14T15:24:41.33" personId="{EB0D252D-48A6-4ADE-AC56-5BFF283B503A}" id="{E6466F2F-596B-4254-832A-7BBF653D7952}">
    <text>4.4 (went before start)</text>
  </threadedComment>
  <threadedComment ref="E83" dT="2026-02-14T15:31:41.86" personId="{EB0D252D-48A6-4ADE-AC56-5BFF283B503A}" id="{8EEE1CBF-2127-4DA4-A9A5-44B997671D6C}">
    <text>4.4 (went before start)</text>
  </threadedComment>
  <threadedComment ref="K92" dT="2026-02-14T15:41:30.32" personId="{EB0D252D-48A6-4ADE-AC56-5BFF283B503A}" id="{FE5DD5B0-9645-4D35-B431-D0229BDF76F6}">
    <text>Chief TK time as timekeeper watch stopped</text>
  </threadedComment>
  <threadedComment ref="K98" dT="2026-02-14T15:48:11.49" personId="{EB0D252D-48A6-4ADE-AC56-5BFF283B503A}" id="{824D3ECF-405B-4DC8-A0F8-CC408EFD8B21}">
    <text>7.1 (head did not break surface - two arm pulls under water)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FB77D-796E-4454-850D-7C07F7E8867B}">
  <sheetPr codeName="Sheet1"/>
  <dimension ref="A4:A5"/>
  <sheetViews>
    <sheetView workbookViewId="0">
      <selection activeCell="Q21" sqref="Q21"/>
    </sheetView>
  </sheetViews>
  <sheetFormatPr defaultRowHeight="14.5" x14ac:dyDescent="0.35"/>
  <cols>
    <col min="1" max="1" width="14.1796875" customWidth="1"/>
  </cols>
  <sheetData>
    <row r="4" spans="1:1" x14ac:dyDescent="0.35">
      <c r="A4" s="23"/>
    </row>
    <row r="5" spans="1:1" x14ac:dyDescent="0.35">
      <c r="A5" s="2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3A16-B439-4E59-807C-B9B89F21678A}">
  <sheetPr codeName="Sheet4"/>
  <dimension ref="A1:Y116"/>
  <sheetViews>
    <sheetView tabSelected="1" topLeftCell="O1" zoomScale="84" zoomScaleNormal="100" workbookViewId="0">
      <pane ySplit="5" topLeftCell="A6" activePane="bottomLeft" state="frozen"/>
      <selection pane="bottomLeft" activeCell="G70" sqref="G70"/>
    </sheetView>
  </sheetViews>
  <sheetFormatPr defaultColWidth="9" defaultRowHeight="14.5" x14ac:dyDescent="0.35"/>
  <cols>
    <col min="1" max="1" width="9.54296875" bestFit="1" customWidth="1"/>
    <col min="2" max="2" width="28" bestFit="1" customWidth="1"/>
    <col min="3" max="3" width="20.1796875" customWidth="1"/>
    <col min="4" max="4" width="21.7265625" customWidth="1"/>
    <col min="5" max="12" width="10.1796875" customWidth="1"/>
    <col min="13" max="13" width="15.6328125" customWidth="1"/>
    <col min="14" max="14" width="3.453125" customWidth="1"/>
    <col min="15" max="15" width="6.7265625" bestFit="1" customWidth="1"/>
    <col min="16" max="16" width="16.26953125" bestFit="1" customWidth="1"/>
    <col min="17" max="17" width="15.81640625" bestFit="1" customWidth="1"/>
    <col min="18" max="21" width="11.26953125" bestFit="1" customWidth="1"/>
    <col min="24" max="24" width="11.26953125" customWidth="1"/>
  </cols>
  <sheetData>
    <row r="1" spans="1:25" ht="18.5" x14ac:dyDescent="0.45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3" spans="1:25" x14ac:dyDescent="0.35">
      <c r="A3" s="30"/>
      <c r="B3" s="30"/>
      <c r="C3" s="30"/>
      <c r="D3" s="30"/>
      <c r="E3" s="27" t="s">
        <v>1</v>
      </c>
      <c r="F3" s="29"/>
      <c r="G3" s="27" t="s">
        <v>2</v>
      </c>
      <c r="H3" s="29"/>
      <c r="I3" s="27" t="s">
        <v>76</v>
      </c>
      <c r="J3" s="29"/>
      <c r="K3" s="32" t="s">
        <v>78</v>
      </c>
      <c r="L3" s="32"/>
    </row>
    <row r="4" spans="1:25" x14ac:dyDescent="0.35">
      <c r="A4" s="31"/>
      <c r="B4" s="31"/>
      <c r="C4" s="31"/>
      <c r="D4" s="31"/>
      <c r="E4" s="33" t="s">
        <v>81</v>
      </c>
      <c r="F4" s="34"/>
      <c r="G4" s="33" t="s">
        <v>82</v>
      </c>
      <c r="H4" s="34"/>
      <c r="I4" s="33" t="s">
        <v>84</v>
      </c>
      <c r="J4" s="34"/>
      <c r="K4" s="33" t="s">
        <v>83</v>
      </c>
      <c r="L4" s="34"/>
    </row>
    <row r="5" spans="1:25" x14ac:dyDescent="0.35">
      <c r="A5" s="1" t="s">
        <v>8</v>
      </c>
      <c r="B5" s="1" t="s">
        <v>9</v>
      </c>
      <c r="C5" s="1" t="s">
        <v>10</v>
      </c>
      <c r="D5" s="1" t="s">
        <v>11</v>
      </c>
      <c r="E5" s="27" t="s">
        <v>12</v>
      </c>
      <c r="F5" s="29"/>
      <c r="G5" s="27" t="s">
        <v>12</v>
      </c>
      <c r="H5" s="29"/>
      <c r="I5" s="27" t="s">
        <v>12</v>
      </c>
      <c r="J5" s="29"/>
      <c r="K5" s="32" t="s">
        <v>12</v>
      </c>
      <c r="L5" s="32"/>
    </row>
    <row r="6" spans="1:25" x14ac:dyDescent="0.35">
      <c r="A6" s="5">
        <v>1</v>
      </c>
      <c r="B6" s="6" t="s">
        <v>13</v>
      </c>
      <c r="C6" s="2" t="s">
        <v>14</v>
      </c>
      <c r="D6" s="16">
        <v>1.1878472222222221E-3</v>
      </c>
      <c r="E6" s="35">
        <v>1.3615740740740741E-3</v>
      </c>
      <c r="F6" s="35"/>
      <c r="G6" s="35">
        <v>1.2634259259259259E-3</v>
      </c>
      <c r="H6" s="35"/>
      <c r="I6" s="35">
        <v>1.2550925925925926E-3</v>
      </c>
      <c r="J6" s="35"/>
      <c r="K6" s="35">
        <v>1.3506944444444445E-3</v>
      </c>
      <c r="L6" s="35"/>
      <c r="P6" s="27" t="s">
        <v>79</v>
      </c>
      <c r="Q6" s="28"/>
      <c r="R6" s="28"/>
      <c r="S6" s="28"/>
      <c r="T6" s="28"/>
      <c r="U6" s="28"/>
      <c r="V6" s="28"/>
      <c r="W6" s="29"/>
      <c r="X6" s="18"/>
      <c r="Y6" s="18"/>
    </row>
    <row r="7" spans="1:25" x14ac:dyDescent="0.35">
      <c r="A7" s="7"/>
      <c r="B7" s="8"/>
      <c r="C7" s="4" t="s">
        <v>15</v>
      </c>
      <c r="D7" s="16"/>
      <c r="E7" s="15">
        <f>IF(E6="DQ",0,IF(E6&lt;$D$6,0,1+COUNTIFS($E$6:$K$6,"DQ")+COUNTIFS($E$6:$K$6,"&lt;"&amp;$D$6)+COUNTIF($E$6:$K$6,"&gt;"&amp;E$6)))</f>
        <v>1</v>
      </c>
      <c r="F7" s="14" cm="1">
        <f t="array" ref="F7">_xlfn.IFS(E7=4,1,E7=3,2,E7=2,3,E7=1,4,E6&lt;$D$6,"Too Fast",E6="DQ","DQ")</f>
        <v>4</v>
      </c>
      <c r="G7" s="15">
        <f t="shared" ref="G7" si="0">IF(G6="DQ",0,IF(G6&lt;$D$6,0,1+COUNTIFS($E$6:$K$6,"DQ")+COUNTIFS($E$6:$K$6,"&lt;"&amp;$D$6)+COUNTIF($E$6:$K$6,"&gt;"&amp;G$6)))</f>
        <v>3</v>
      </c>
      <c r="H7" s="14" cm="1">
        <f t="array" ref="H7">_xlfn.IFS(G7=4,1,G7=3,2,G7=2,3,G7=1,4,G6&lt;$D$6,"Too Fast",G6="DQ","DQ")</f>
        <v>2</v>
      </c>
      <c r="I7" s="15">
        <f t="shared" ref="I7" si="1">IF(I6="DQ",0,IF(I6&lt;$D$6,0,1+COUNTIFS($E$6:$K$6,"DQ")+COUNTIFS($E$6:$K$6,"&lt;"&amp;$D$6)+COUNTIF($E$6:$K$6,"&gt;"&amp;I$6)))</f>
        <v>4</v>
      </c>
      <c r="J7" s="14" cm="1">
        <f t="array" ref="J7">_xlfn.IFS(I7=4,1,I7=3,2,I7=2,3,I7=1,4,I6&lt;$D$6,"Too Fast",I6="DQ","DQ")</f>
        <v>1</v>
      </c>
      <c r="K7" s="15">
        <f t="shared" ref="K7" si="2">IF(K6="DQ",0,IF(K6&lt;$D$6,0,1+COUNTIFS($E$6:$K$6,"DQ")+COUNTIFS($E$6:$K$6,"&lt;"&amp;$D$6)+COUNTIF($E$6:$K$6,"&gt;"&amp;K$6)))</f>
        <v>2</v>
      </c>
      <c r="L7" s="14" cm="1">
        <f t="array" ref="L7">_xlfn.IFS(K7=4,1,K7=3,2,K7=2,3,K7=1,4,K6&lt;$D$6,"Too Fast",K6="DQ","DQ")</f>
        <v>3</v>
      </c>
      <c r="P7" s="8"/>
      <c r="Q7" s="8"/>
      <c r="R7" s="17" t="s">
        <v>3</v>
      </c>
      <c r="S7" s="17" t="s">
        <v>4</v>
      </c>
      <c r="T7" s="17" t="s">
        <v>77</v>
      </c>
      <c r="U7" s="17" t="s">
        <v>80</v>
      </c>
      <c r="V7" s="17" t="s">
        <v>5</v>
      </c>
      <c r="W7" s="17" t="s">
        <v>6</v>
      </c>
      <c r="X7" s="24" t="s">
        <v>7</v>
      </c>
      <c r="Y7" s="17"/>
    </row>
    <row r="8" spans="1:25" x14ac:dyDescent="0.35">
      <c r="A8" s="5">
        <v>2</v>
      </c>
      <c r="B8" s="10" t="s">
        <v>16</v>
      </c>
      <c r="C8" s="2" t="s">
        <v>14</v>
      </c>
      <c r="D8" s="16">
        <v>1.0753472222222221E-3</v>
      </c>
      <c r="E8" s="35">
        <v>1.1649305555555556E-3</v>
      </c>
      <c r="F8" s="35"/>
      <c r="G8" s="35">
        <v>1.1682870370370369E-3</v>
      </c>
      <c r="H8" s="35"/>
      <c r="I8" s="35">
        <v>1.2905092592592593E-3</v>
      </c>
      <c r="J8" s="35"/>
      <c r="K8" s="35">
        <v>1.1908564814814815E-3</v>
      </c>
      <c r="L8" s="35"/>
      <c r="P8" s="17" t="str">
        <f>E3</f>
        <v>Lane 1</v>
      </c>
      <c r="Q8" s="17" t="str">
        <f>E4</f>
        <v>Wells</v>
      </c>
      <c r="R8" s="20">
        <f>COUNTIF($F7:$F115,1)</f>
        <v>10</v>
      </c>
      <c r="S8" s="20">
        <f>COUNTIF($F7:$F115,2)</f>
        <v>12</v>
      </c>
      <c r="T8" s="20">
        <f>COUNTIF($F7:$F115,3)</f>
        <v>12</v>
      </c>
      <c r="U8" s="20">
        <f>COUNTIF($F7:$F115,4)</f>
        <v>18</v>
      </c>
      <c r="V8" s="20">
        <f>COUNTIF($F7:$F115,"DQ")</f>
        <v>1</v>
      </c>
      <c r="W8" s="20">
        <f>COUNTIF($F7:$F115,"Too Fast")</f>
        <v>0</v>
      </c>
      <c r="X8" s="2">
        <f>E116</f>
        <v>118</v>
      </c>
      <c r="Y8" s="18"/>
    </row>
    <row r="9" spans="1:25" x14ac:dyDescent="0.35">
      <c r="A9" s="7"/>
      <c r="B9" s="8"/>
      <c r="C9" s="4" t="s">
        <v>15</v>
      </c>
      <c r="D9" s="16"/>
      <c r="E9" s="11">
        <f>IF(E8="DQ",0,IF(E8&lt;$D$8,0,1+COUNTIFS($E$8:$K$8,"DQ")+COUNTIFS($E$8:$K$8,"&lt;"&amp;$D$8)+COUNTIF($E$8:$K$8,"&gt;"&amp;E$8)))</f>
        <v>4</v>
      </c>
      <c r="F9" s="14" cm="1">
        <f t="array" ref="F9">_xlfn.IFS(E9=4,1,E9=3,2,E9=2,3,E9=1,4,E8&lt;$D$8,"Too Fast",E8="DQ","DQ")</f>
        <v>1</v>
      </c>
      <c r="G9" s="11">
        <f t="shared" ref="G9" si="3">IF(G8="DQ",0,IF(G8&lt;$D$8,0,1+COUNTIFS($E$8:$K$8,"DQ")+COUNTIFS($E$8:$K$8,"&lt;"&amp;$D$8)+COUNTIF($E$8:$K$8,"&gt;"&amp;G$8)))</f>
        <v>3</v>
      </c>
      <c r="H9" s="14" cm="1">
        <f t="array" ref="H9">_xlfn.IFS(G9=4,1,G9=3,2,G9=2,3,G9=1,4,G8&lt;$D$8,"Too Fast",G8="DQ","DQ")</f>
        <v>2</v>
      </c>
      <c r="I9" s="11">
        <f t="shared" ref="I9" si="4">IF(I8="DQ",0,IF(I8&lt;$D$8,0,1+COUNTIFS($E$8:$K$8,"DQ")+COUNTIFS($E$8:$K$8,"&lt;"&amp;$D$8)+COUNTIF($E$8:$K$8,"&gt;"&amp;I$8)))</f>
        <v>1</v>
      </c>
      <c r="J9" s="14" cm="1">
        <f t="array" ref="J9">_xlfn.IFS(I9=4,1,I9=3,2,I9=2,3,I9=1,4,I8&lt;$D$8,"Too Fast",I8="DQ","DQ")</f>
        <v>4</v>
      </c>
      <c r="K9" s="11">
        <f t="shared" ref="K9" si="5">IF(K8="DQ",0,IF(K8&lt;$D$8,0,1+COUNTIFS($E$8:$K$8,"DQ")+COUNTIFS($E$8:$K$8,"&lt;"&amp;$D$8)+COUNTIF($E$8:$K$8,"&gt;"&amp;K$8)))</f>
        <v>2</v>
      </c>
      <c r="L9" s="14" cm="1">
        <f t="array" ref="L9">_xlfn.IFS(K9=4,1,K9=3,2,K9=2,3,K9=1,4,K8&lt;$D$8,"Too Fast",K8="DQ","DQ")</f>
        <v>3</v>
      </c>
      <c r="P9" s="17" t="str">
        <f>G3</f>
        <v>Lane 2</v>
      </c>
      <c r="Q9" s="17" t="str">
        <f>G4</f>
        <v>Severnside Tritons</v>
      </c>
      <c r="R9" s="20">
        <f>COUNTIF($H7:$H115,1)</f>
        <v>9</v>
      </c>
      <c r="S9" s="20">
        <f>COUNTIF($H7:$H115,2)</f>
        <v>15</v>
      </c>
      <c r="T9" s="20">
        <f>COUNTIF($H7:$H115,3)</f>
        <v>15</v>
      </c>
      <c r="U9" s="20">
        <f>COUNTIF($H7:$H115,4)</f>
        <v>9</v>
      </c>
      <c r="V9" s="20">
        <f>COUNTIF($H7:$H115,"DQ")</f>
        <v>5</v>
      </c>
      <c r="W9" s="20">
        <f>COUNTIF($H7:$H115,"Too Fast")</f>
        <v>0</v>
      </c>
      <c r="X9" s="2">
        <f>G116</f>
        <v>120</v>
      </c>
      <c r="Y9" s="18"/>
    </row>
    <row r="10" spans="1:25" x14ac:dyDescent="0.35">
      <c r="A10" s="5">
        <v>3</v>
      </c>
      <c r="B10" s="10" t="s">
        <v>17</v>
      </c>
      <c r="C10" s="2" t="s">
        <v>14</v>
      </c>
      <c r="D10" s="16">
        <v>1.153587962962963E-3</v>
      </c>
      <c r="E10" s="35">
        <v>1.2978009259259258E-3</v>
      </c>
      <c r="F10" s="35"/>
      <c r="G10" s="35">
        <v>1.2019675925925926E-3</v>
      </c>
      <c r="H10" s="35"/>
      <c r="I10" s="35">
        <v>1.2305555555555555E-3</v>
      </c>
      <c r="J10" s="35"/>
      <c r="K10" s="35">
        <v>1.4225694444444444E-3</v>
      </c>
      <c r="L10" s="35"/>
      <c r="P10" s="17" t="str">
        <f>I3</f>
        <v>Lane 3</v>
      </c>
      <c r="Q10" s="17" t="str">
        <f>I4</f>
        <v>Cwmbran ASC</v>
      </c>
      <c r="R10" s="20">
        <f>COUNTIF($J7:$J115,1)</f>
        <v>24</v>
      </c>
      <c r="S10" s="20">
        <f>COUNTIF($J7:$J115,2)</f>
        <v>12</v>
      </c>
      <c r="T10" s="20">
        <f>COUNTIF($J7:$J115,3)</f>
        <v>8</v>
      </c>
      <c r="U10" s="20">
        <f>COUNTIF($J7:$J115,4)</f>
        <v>7</v>
      </c>
      <c r="V10" s="20">
        <f>COUNTIF($J7:$J115,"DQ")</f>
        <v>2</v>
      </c>
      <c r="W10" s="20">
        <f>COUNTIF($J7:$J115,"Too Fast")</f>
        <v>0</v>
      </c>
      <c r="X10" s="2">
        <f>I116</f>
        <v>155</v>
      </c>
      <c r="Y10" s="18"/>
    </row>
    <row r="11" spans="1:25" x14ac:dyDescent="0.35">
      <c r="A11" s="7"/>
      <c r="B11" s="8"/>
      <c r="C11" s="4" t="s">
        <v>15</v>
      </c>
      <c r="D11" s="16"/>
      <c r="E11" s="9">
        <f>IF(E10="DQ",0,IF(E10&lt;$D$10,0,1+COUNTIFS($E$10:$K$10,"DQ")+COUNTIFS($E$10:$K$10,"&lt;"&amp;$D$10)+COUNTIF($E$10:$K$10,"&gt;"&amp;E$10)))</f>
        <v>2</v>
      </c>
      <c r="F11" s="14" cm="1">
        <f t="array" ref="F11">_xlfn.IFS(E11=4,1,E11=3,2,E11=2,3,E11=1,4,E10&lt;$D$10,"Too Fast",E10="DQ","DQ")</f>
        <v>3</v>
      </c>
      <c r="G11" s="9">
        <f>IF(G10="DQ",0,IF(G10&lt;$D$10,0,1+COUNTIFS($E$10:$K$10,"DQ")+COUNTIFS($E$10:$K$10,"&lt;"&amp;$D$10)+COUNTIF($E$10:$K$10,"&gt;"&amp;G$10)))</f>
        <v>4</v>
      </c>
      <c r="H11" s="14" cm="1">
        <f t="array" ref="H11">_xlfn.IFS(G11=4,1,G11=3,2,G11=2,3,G11=1,4,G10&lt;$D$10,"Too Fast",G10="DQ","DQ")</f>
        <v>1</v>
      </c>
      <c r="I11" s="9">
        <f>IF(I10="DQ",0,IF(I10&lt;$D$10,0,1+COUNTIFS($E$10:$K$10,"DQ")+COUNTIFS($E$10:$K$10,"&lt;"&amp;$D$10)+COUNTIF($E$10:$K$10,"&gt;"&amp;I$10)))</f>
        <v>3</v>
      </c>
      <c r="J11" s="14" cm="1">
        <f t="array" ref="J11">_xlfn.IFS(I11=4,1,I11=3,2,I11=2,3,I11=1,4,I10&lt;$D$10,"Too Fast",I10="DQ","DQ")</f>
        <v>2</v>
      </c>
      <c r="K11" s="9">
        <f>IF(K10="DQ",0,IF(K10&lt;$D$10,0,1+COUNTIFS($E$10:$K$10,"DQ")+COUNTIFS($E$10:$K$10,"&lt;"&amp;$D$10)+COUNTIF($E$10:$K$10,"&gt;"&amp;K$10)))</f>
        <v>1</v>
      </c>
      <c r="L11" s="14" cm="1">
        <f t="array" ref="L11">_xlfn.IFS(K11=4,1,K11=3,2,K11=2,3,K11=1,4,K10&lt;$D$10,"Too Fast",K10="DQ","DQ")</f>
        <v>4</v>
      </c>
      <c r="P11" s="17" t="str">
        <f>K3</f>
        <v>Lane 4</v>
      </c>
      <c r="Q11" s="17" t="str">
        <f>K4</f>
        <v>Swindon</v>
      </c>
      <c r="R11" s="20">
        <f>COUNTIF($L7:$L115,1)</f>
        <v>9</v>
      </c>
      <c r="S11" s="20">
        <f>COUNTIF($L7:$L115,2)</f>
        <v>14</v>
      </c>
      <c r="T11" s="20">
        <f>COUNTIF($L7:$L115,3)</f>
        <v>17</v>
      </c>
      <c r="U11" s="20">
        <f>COUNTIF($L7:$L115,4)</f>
        <v>10</v>
      </c>
      <c r="V11" s="20">
        <f>COUNTIF($L7:$L115,"DQ")</f>
        <v>2</v>
      </c>
      <c r="W11" s="20">
        <f>COUNTIF($L7:$L115,"Too Fast")</f>
        <v>1</v>
      </c>
      <c r="X11" s="2">
        <f>K116</f>
        <v>122</v>
      </c>
      <c r="Y11" s="18"/>
    </row>
    <row r="12" spans="1:25" x14ac:dyDescent="0.35">
      <c r="A12" s="5">
        <v>4</v>
      </c>
      <c r="B12" s="10" t="s">
        <v>18</v>
      </c>
      <c r="C12" s="2" t="s">
        <v>14</v>
      </c>
      <c r="D12" s="16">
        <v>1.0135416666666665E-3</v>
      </c>
      <c r="E12" s="35">
        <v>1.3409722222222221E-3</v>
      </c>
      <c r="F12" s="35"/>
      <c r="G12" s="35">
        <v>1.1306712962962963E-3</v>
      </c>
      <c r="H12" s="35"/>
      <c r="I12" s="35">
        <v>1.1031249999999999E-3</v>
      </c>
      <c r="J12" s="35"/>
      <c r="K12" s="35">
        <v>1.1628472222222222E-3</v>
      </c>
      <c r="L12" s="35"/>
    </row>
    <row r="13" spans="1:25" x14ac:dyDescent="0.35">
      <c r="A13" s="7"/>
      <c r="B13" s="8"/>
      <c r="C13" s="4" t="s">
        <v>15</v>
      </c>
      <c r="D13" s="16"/>
      <c r="E13" s="9">
        <f>IF(E12="DQ",0,IF(E12&lt;$D$12,0,1+COUNTIFS($E$12:$K$12,"DQ")+COUNTIFS($E$12:$K$12,"&lt;"&amp;$D$12)+COUNTIF($E$12:$K$12,"&gt;"&amp;E$12)))</f>
        <v>1</v>
      </c>
      <c r="F13" s="14" cm="1">
        <f t="array" ref="F13">_xlfn.IFS(E13=4,1,E13=3,2,E13=2,3,E13=1,4,E12&lt;$D$12,"Too Fast",E12="DQ","DQ")</f>
        <v>4</v>
      </c>
      <c r="G13" s="9">
        <f t="shared" ref="G13" si="6">IF(G12="DQ",0,IF(G12&lt;$D$12,0,1+COUNTIFS($E$12:$K$12,"DQ")+COUNTIFS($E$12:$K$12,"&lt;"&amp;$D$12)+COUNTIF($E$12:$K$12,"&gt;"&amp;G$12)))</f>
        <v>3</v>
      </c>
      <c r="H13" s="14" cm="1">
        <f t="array" ref="H13">_xlfn.IFS(G13=4,1,G13=3,2,G13=2,3,G13=1,4,G12&lt;$D$12,"Too Fast",G12="DQ","DQ")</f>
        <v>2</v>
      </c>
      <c r="I13" s="9">
        <f t="shared" ref="I13" si="7">IF(I12="DQ",0,IF(I12&lt;$D$12,0,1+COUNTIFS($E$12:$K$12,"DQ")+COUNTIFS($E$12:$K$12,"&lt;"&amp;$D$12)+COUNTIF($E$12:$K$12,"&gt;"&amp;I$12)))</f>
        <v>4</v>
      </c>
      <c r="J13" s="14" cm="1">
        <f t="array" ref="J13">_xlfn.IFS(I13=4,1,I13=3,2,I13=2,3,I13=1,4,I12&lt;$D$12,"Too Fast",I12="DQ","DQ")</f>
        <v>1</v>
      </c>
      <c r="K13" s="9">
        <f t="shared" ref="K13" si="8">IF(K12="DQ",0,IF(K12&lt;$D$12,0,1+COUNTIFS($E$12:$K$12,"DQ")+COUNTIFS($E$12:$K$12,"&lt;"&amp;$D$12)+COUNTIF($E$12:$K$12,"&gt;"&amp;K$12)))</f>
        <v>2</v>
      </c>
      <c r="L13" s="14" cm="1">
        <f t="array" ref="L13">_xlfn.IFS(K13=4,1,K13=3,2,K13=2,3,K13=1,4,K12&lt;$D$12,"Too Fast",K12="DQ","DQ")</f>
        <v>3</v>
      </c>
    </row>
    <row r="14" spans="1:25" x14ac:dyDescent="0.35">
      <c r="A14" s="5">
        <v>5</v>
      </c>
      <c r="B14" s="10" t="s">
        <v>19</v>
      </c>
      <c r="C14" s="2" t="s">
        <v>20</v>
      </c>
      <c r="D14" s="16">
        <v>2.258101851851852E-4</v>
      </c>
      <c r="E14" s="35">
        <v>3.5451388888888886E-4</v>
      </c>
      <c r="F14" s="35"/>
      <c r="G14" s="35">
        <v>3.2418981481481486E-4</v>
      </c>
      <c r="H14" s="35"/>
      <c r="I14" s="35">
        <v>2.6261574074074078E-4</v>
      </c>
      <c r="J14" s="35"/>
      <c r="K14" s="35">
        <v>2.6157407407407406E-4</v>
      </c>
      <c r="L14" s="35"/>
    </row>
    <row r="15" spans="1:25" x14ac:dyDescent="0.35">
      <c r="A15" s="7"/>
      <c r="B15" s="8"/>
      <c r="C15" s="4" t="s">
        <v>15</v>
      </c>
      <c r="D15" s="16"/>
      <c r="E15" s="9">
        <f>IF(E14="DQ",0,IF(E14&lt;$D$14,0,1+COUNTIFS($E$14:$K$14,"DQ")+COUNTIFS($E$14:$K$14,"&lt;"&amp;$D$14)+COUNTIF($E$14:$K$14,"&gt;"&amp;E$14)))</f>
        <v>1</v>
      </c>
      <c r="F15" s="14" cm="1">
        <f t="array" ref="F15">_xlfn.IFS(E15=4,1,E15=3,2,E15=2,3,E15=1,4,E14&lt;$D$14,"Too Fast",E14="DQ","DQ")</f>
        <v>4</v>
      </c>
      <c r="G15" s="9">
        <f t="shared" ref="G15" si="9">IF(G14="DQ",0,IF(G14&lt;$D$14,0,1+COUNTIFS($E$14:$K$14,"DQ")+COUNTIFS($E$14:$K$14,"&lt;"&amp;$D$14)+COUNTIF($E$14:$K$14,"&gt;"&amp;G$14)))</f>
        <v>2</v>
      </c>
      <c r="H15" s="14" cm="1">
        <f t="array" ref="H15">_xlfn.IFS(G15=4,1,G15=3,2,G15=2,3,G15=1,4,G14&lt;$D$14,"Too Fast",G14="DQ","DQ")</f>
        <v>3</v>
      </c>
      <c r="I15" s="9">
        <f t="shared" ref="I15" si="10">IF(I14="DQ",0,IF(I14&lt;$D$14,0,1+COUNTIFS($E$14:$K$14,"DQ")+COUNTIFS($E$14:$K$14,"&lt;"&amp;$D$14)+COUNTIF($E$14:$K$14,"&gt;"&amp;I$14)))</f>
        <v>3</v>
      </c>
      <c r="J15" s="14" cm="1">
        <f t="array" ref="J15">_xlfn.IFS(I15=4,1,I15=3,2,I15=2,3,I15=1,4,I14&lt;$D$14,"Too Fast",I14="DQ","DQ")</f>
        <v>2</v>
      </c>
      <c r="K15" s="9">
        <f t="shared" ref="K15" si="11">IF(K14="DQ",0,IF(K14&lt;$D$14,0,1+COUNTIFS($E$14:$K$14,"DQ")+COUNTIFS($E$14:$K$14,"&lt;"&amp;$D$14)+COUNTIF($E$14:$K$14,"&gt;"&amp;K$14)))</f>
        <v>4</v>
      </c>
      <c r="L15" s="14" cm="1">
        <f t="array" ref="L15">_xlfn.IFS(K15=4,1,K15=3,2,K15=2,3,K15=1,4,K14&lt;$D$14,"Too Fast",K14="DQ","DQ")</f>
        <v>1</v>
      </c>
    </row>
    <row r="16" spans="1:25" x14ac:dyDescent="0.35">
      <c r="A16" s="5">
        <v>6</v>
      </c>
      <c r="B16" s="10" t="s">
        <v>21</v>
      </c>
      <c r="C16" s="2" t="s">
        <v>20</v>
      </c>
      <c r="D16" s="16">
        <v>2.2627314814814816E-4</v>
      </c>
      <c r="E16" s="35">
        <v>2.9988425925925929E-4</v>
      </c>
      <c r="F16" s="35"/>
      <c r="G16" s="35">
        <v>2.4386574074074076E-4</v>
      </c>
      <c r="H16" s="35"/>
      <c r="I16" s="35">
        <v>3.2986111111111112E-4</v>
      </c>
      <c r="J16" s="35"/>
      <c r="K16" s="35">
        <v>3.0324074074074075E-4</v>
      </c>
      <c r="L16" s="35"/>
    </row>
    <row r="17" spans="1:12" x14ac:dyDescent="0.35">
      <c r="A17" s="7"/>
      <c r="B17" s="8"/>
      <c r="C17" s="4" t="s">
        <v>15</v>
      </c>
      <c r="D17" s="16"/>
      <c r="E17" s="9">
        <f>IF(E16="DQ",0,IF(E16&lt;$D$16,0,1+COUNTIFS($E$16:$K$16,"DQ")+COUNTIFS($E$16:$K$16,"&lt;"&amp;$D$16)+COUNTIF($E$16:$K$16,"&gt;"&amp;E$16)))</f>
        <v>3</v>
      </c>
      <c r="F17" s="14" cm="1">
        <f t="array" ref="F17">_xlfn.IFS(E17=4,1,E17=3,2,E17=2,3,E17=1,4,E16&lt;$D$16,"Too Fast",E16="DQ","DQ")</f>
        <v>2</v>
      </c>
      <c r="G17" s="9">
        <f t="shared" ref="G17" si="12">IF(G16="DQ",0,IF(G16&lt;$D$16,0,1+COUNTIFS($E$16:$K$16,"DQ")+COUNTIFS($E$16:$K$16,"&lt;"&amp;$D$16)+COUNTIF($E$16:$K$16,"&gt;"&amp;G$16)))</f>
        <v>4</v>
      </c>
      <c r="H17" s="14" cm="1">
        <f t="array" ref="H17">_xlfn.IFS(G17=4,1,G17=3,2,G17=2,3,G17=1,4,G16&lt;$D$16,"Too Fast",G16="DQ","DQ")</f>
        <v>1</v>
      </c>
      <c r="I17" s="9">
        <f t="shared" ref="I17" si="13">IF(I16="DQ",0,IF(I16&lt;$D$16,0,1+COUNTIFS($E$16:$K$16,"DQ")+COUNTIFS($E$16:$K$16,"&lt;"&amp;$D$16)+COUNTIF($E$16:$K$16,"&gt;"&amp;I$16)))</f>
        <v>1</v>
      </c>
      <c r="J17" s="14" cm="1">
        <f t="array" ref="J17">_xlfn.IFS(I17=4,1,I17=3,2,I17=2,3,I17=1,4,I16&lt;$D$16,"Too Fast",I16="DQ","DQ")</f>
        <v>4</v>
      </c>
      <c r="K17" s="9">
        <f t="shared" ref="K17" si="14">IF(K16="DQ",0,IF(K16&lt;$D$16,0,1+COUNTIFS($E$16:$K$16,"DQ")+COUNTIFS($E$16:$K$16,"&lt;"&amp;$D$16)+COUNTIF($E$16:$K$16,"&gt;"&amp;K$16)))</f>
        <v>2</v>
      </c>
      <c r="L17" s="14" cm="1">
        <f t="array" ref="L17">_xlfn.IFS(K17=4,1,K17=3,2,K17=2,3,K17=1,4,K16&lt;$D$16,"Too Fast",K16="DQ","DQ")</f>
        <v>3</v>
      </c>
    </row>
    <row r="18" spans="1:12" x14ac:dyDescent="0.35">
      <c r="A18" s="5">
        <v>7</v>
      </c>
      <c r="B18" s="10" t="s">
        <v>22</v>
      </c>
      <c r="C18" s="2" t="s">
        <v>23</v>
      </c>
      <c r="D18" s="16">
        <v>6.3703703703703698E-4</v>
      </c>
      <c r="E18" s="35">
        <v>8.1863425925925929E-4</v>
      </c>
      <c r="F18" s="35"/>
      <c r="G18" s="35">
        <v>7.0023148148148147E-4</v>
      </c>
      <c r="H18" s="35"/>
      <c r="I18" s="35">
        <v>6.7708333333333336E-4</v>
      </c>
      <c r="J18" s="35"/>
      <c r="K18" s="35">
        <v>7.5995370370370366E-4</v>
      </c>
      <c r="L18" s="35"/>
    </row>
    <row r="19" spans="1:12" x14ac:dyDescent="0.35">
      <c r="A19" s="7"/>
      <c r="B19" s="8"/>
      <c r="C19" s="4" t="s">
        <v>15</v>
      </c>
      <c r="D19" s="16"/>
      <c r="E19" s="9">
        <f>IF(E18="DQ",0,IF(E18&lt;$D$18,0,1+COUNTIFS($E$18:$K$18,"DQ")+COUNTIFS($E$18:$K$18,"&lt;"&amp;$D$18)+COUNTIF($E$18:$K$18,"&gt;"&amp;E$18)))</f>
        <v>1</v>
      </c>
      <c r="F19" s="14" cm="1">
        <f t="array" ref="F19">_xlfn.IFS(E19=4,1,E19=3,2,E19=2,3,E19=1,4,E18&lt;$D$18,"Too Fast",E18="DQ","DQ")</f>
        <v>4</v>
      </c>
      <c r="G19" s="9">
        <f t="shared" ref="G19" si="15">IF(G18="DQ",0,IF(G18&lt;$D$18,0,1+COUNTIFS($E$18:$K$18,"DQ")+COUNTIFS($E$18:$K$18,"&lt;"&amp;$D$18)+COUNTIF($E$18:$K$18,"&gt;"&amp;G$18)))</f>
        <v>3</v>
      </c>
      <c r="H19" s="14" cm="1">
        <f t="array" ref="H19">_xlfn.IFS(G19=4,1,G19=3,2,G19=2,3,G19=1,4,G18&lt;$D$18,"Too Fast",G18="DQ","DQ")</f>
        <v>2</v>
      </c>
      <c r="I19" s="9">
        <f t="shared" ref="I19" si="16">IF(I18="DQ",0,IF(I18&lt;$D$18,0,1+COUNTIFS($E$18:$K$18,"DQ")+COUNTIFS($E$18:$K$18,"&lt;"&amp;$D$18)+COUNTIF($E$18:$K$18,"&gt;"&amp;I$18)))</f>
        <v>4</v>
      </c>
      <c r="J19" s="14" cm="1">
        <f t="array" ref="J19">_xlfn.IFS(I19=4,1,I19=3,2,I19=2,3,I19=1,4,I18&lt;$D$18,"Too Fast",I18="DQ","DQ")</f>
        <v>1</v>
      </c>
      <c r="K19" s="9">
        <f t="shared" ref="K19" si="17">IF(K18="DQ",0,IF(K18&lt;$D$18,0,1+COUNTIFS($E$18:$K$18,"DQ")+COUNTIFS($E$18:$K$18,"&lt;"&amp;$D$18)+COUNTIF($E$18:$K$18,"&gt;"&amp;K$18)))</f>
        <v>2</v>
      </c>
      <c r="L19" s="14" cm="1">
        <f t="array" ref="L19">_xlfn.IFS(K19=4,1,K19=3,2,K19=2,3,K19=1,4,K18&lt;$D$18,"Too Fast",K18="DQ","DQ")</f>
        <v>3</v>
      </c>
    </row>
    <row r="20" spans="1:12" x14ac:dyDescent="0.35">
      <c r="A20" s="5">
        <v>8</v>
      </c>
      <c r="B20" s="10" t="s">
        <v>24</v>
      </c>
      <c r="C20" s="2" t="s">
        <v>23</v>
      </c>
      <c r="D20" s="16">
        <v>6.3865740740740745E-4</v>
      </c>
      <c r="E20" s="35">
        <v>6.9016203703703709E-4</v>
      </c>
      <c r="F20" s="35"/>
      <c r="G20" s="35">
        <v>7.2881944444444448E-4</v>
      </c>
      <c r="H20" s="35"/>
      <c r="I20" s="35">
        <v>7.3391203703703704E-4</v>
      </c>
      <c r="J20" s="35"/>
      <c r="K20" s="35">
        <v>7.9143518518518517E-4</v>
      </c>
      <c r="L20" s="35"/>
    </row>
    <row r="21" spans="1:12" x14ac:dyDescent="0.35">
      <c r="A21" s="7"/>
      <c r="B21" s="8"/>
      <c r="C21" s="4" t="s">
        <v>15</v>
      </c>
      <c r="D21" s="16"/>
      <c r="E21" s="9">
        <f>IF(E20="DQ",0,IF(E20&lt;$D$20,0,1+COUNTIFS($E$20:$K$20,"DQ")+COUNTIFS($E$20:$K$20,"&lt;"&amp;$D$20)+COUNTIF($E$20:$K$20,"&gt;"&amp;E$20)))</f>
        <v>4</v>
      </c>
      <c r="F21" s="14" cm="1">
        <f t="array" ref="F21">_xlfn.IFS(E21=4,1,E21=3,2,E21=2,3,E21=1,4,E20&lt;$D$20,"Too Fast",E20="DQ","DQ")</f>
        <v>1</v>
      </c>
      <c r="G21" s="9">
        <f t="shared" ref="G21" si="18">IF(G20="DQ",0,IF(G20&lt;$D$20,0,1+COUNTIFS($E$20:$K$20,"DQ")+COUNTIFS($E$20:$K$20,"&lt;"&amp;$D$20)+COUNTIF($E$20:$K$20,"&gt;"&amp;G$20)))</f>
        <v>3</v>
      </c>
      <c r="H21" s="14" cm="1">
        <f t="array" ref="H21">_xlfn.IFS(G21=4,1,G21=3,2,G21=2,3,G21=1,4,G20&lt;$D$20,"Too Fast",G20="DQ","DQ")</f>
        <v>2</v>
      </c>
      <c r="I21" s="9">
        <f t="shared" ref="I21" si="19">IF(I20="DQ",0,IF(I20&lt;$D$20,0,1+COUNTIFS($E$20:$K$20,"DQ")+COUNTIFS($E$20:$K$20,"&lt;"&amp;$D$20)+COUNTIF($E$20:$K$20,"&gt;"&amp;I$20)))</f>
        <v>2</v>
      </c>
      <c r="J21" s="14" cm="1">
        <f t="array" ref="J21">_xlfn.IFS(I21=4,1,I21=3,2,I21=2,3,I21=1,4,I20&lt;$D$20,"Too Fast",I20="DQ","DQ")</f>
        <v>3</v>
      </c>
      <c r="K21" s="9">
        <f t="shared" ref="K21" si="20">IF(K20="DQ",0,IF(K20&lt;$D$20,0,1+COUNTIFS($E$20:$K$20,"DQ")+COUNTIFS($E$20:$K$20,"&lt;"&amp;$D$20)+COUNTIF($E$20:$K$20,"&gt;"&amp;K$20)))</f>
        <v>1</v>
      </c>
      <c r="L21" s="14" cm="1">
        <f t="array" ref="L21">_xlfn.IFS(K21=4,1,K21=3,2,K21=2,3,K21=1,4,K20&lt;$D$20,"Too Fast",K20="DQ","DQ")</f>
        <v>4</v>
      </c>
    </row>
    <row r="22" spans="1:12" x14ac:dyDescent="0.35">
      <c r="A22" s="5">
        <v>9</v>
      </c>
      <c r="B22" s="10" t="s">
        <v>25</v>
      </c>
      <c r="C22" s="2" t="s">
        <v>23</v>
      </c>
      <c r="D22" s="16">
        <v>5.164351851851852E-4</v>
      </c>
      <c r="E22" s="35">
        <v>6.1273148148148146E-4</v>
      </c>
      <c r="F22" s="35"/>
      <c r="G22" s="35">
        <v>6.1157407407407406E-4</v>
      </c>
      <c r="H22" s="35"/>
      <c r="I22" s="35">
        <v>5.9317129629629629E-4</v>
      </c>
      <c r="J22" s="35"/>
      <c r="K22" s="35">
        <v>6.2511574074074075E-4</v>
      </c>
      <c r="L22" s="35"/>
    </row>
    <row r="23" spans="1:12" x14ac:dyDescent="0.35">
      <c r="A23" s="7"/>
      <c r="B23" s="8"/>
      <c r="C23" s="4" t="s">
        <v>15</v>
      </c>
      <c r="D23" s="16"/>
      <c r="E23" s="9">
        <f>IF(E22="DQ",0,IF(E22&lt;$D$22,0,1+COUNTIFS($E$22:$K$22,"DQ")+COUNTIFS($E$22:$K$22,"&lt;"&amp;$D$22)+COUNTIF($E$22:$K$22,"&gt;"&amp;E$22)))</f>
        <v>2</v>
      </c>
      <c r="F23" s="14" cm="1">
        <f t="array" ref="F23">_xlfn.IFS(E23=4,1,E23=3,2,E23=2,3,E23=1,4,E22&lt;$D$22,"Too Fast",E22="DQ","DQ")</f>
        <v>3</v>
      </c>
      <c r="G23" s="9">
        <f t="shared" ref="G23" si="21">IF(G22="DQ",0,IF(G22&lt;$D$22,0,1+COUNTIFS($E$22:$K$22,"DQ")+COUNTIFS($E$22:$K$22,"&lt;"&amp;$D$22)+COUNTIF($E$22:$K$22,"&gt;"&amp;G$22)))</f>
        <v>3</v>
      </c>
      <c r="H23" s="14" cm="1">
        <f t="array" ref="H23">_xlfn.IFS(G23=4,1,G23=3,2,G23=2,3,G23=1,4,G22&lt;$D$22,"Too Fast",G22="DQ","DQ")</f>
        <v>2</v>
      </c>
      <c r="I23" s="9">
        <f t="shared" ref="I23" si="22">IF(I22="DQ",0,IF(I22&lt;$D$22,0,1+COUNTIFS($E$22:$K$22,"DQ")+COUNTIFS($E$22:$K$22,"&lt;"&amp;$D$22)+COUNTIF($E$22:$K$22,"&gt;"&amp;I$22)))</f>
        <v>4</v>
      </c>
      <c r="J23" s="14" cm="1">
        <f t="array" ref="J23">_xlfn.IFS(I23=4,1,I23=3,2,I23=2,3,I23=1,4,I22&lt;$D$22,"Too Fast",I22="DQ","DQ")</f>
        <v>1</v>
      </c>
      <c r="K23" s="9">
        <f t="shared" ref="K23" si="23">IF(K22="DQ",0,IF(K22&lt;$D$22,0,1+COUNTIFS($E$22:$K$22,"DQ")+COUNTIFS($E$22:$K$22,"&lt;"&amp;$D$22)+COUNTIF($E$22:$K$22,"&gt;"&amp;K$22)))</f>
        <v>1</v>
      </c>
      <c r="L23" s="14" cm="1">
        <f t="array" ref="L23">_xlfn.IFS(K23=4,1,K23=3,2,K23=2,3,K23=1,4,K22&lt;$D$22,"Too Fast",K22="DQ","DQ")</f>
        <v>4</v>
      </c>
    </row>
    <row r="24" spans="1:12" x14ac:dyDescent="0.35">
      <c r="A24" s="5">
        <v>10</v>
      </c>
      <c r="B24" s="10" t="s">
        <v>26</v>
      </c>
      <c r="C24" s="2" t="s">
        <v>23</v>
      </c>
      <c r="D24" s="16">
        <v>5.0567129629629627E-4</v>
      </c>
      <c r="E24" s="35">
        <v>5.380787037037037E-4</v>
      </c>
      <c r="F24" s="35"/>
      <c r="G24" s="35">
        <v>5.7800925925925923E-4</v>
      </c>
      <c r="H24" s="35"/>
      <c r="I24" s="35">
        <v>5.7731481481481479E-4</v>
      </c>
      <c r="J24" s="35"/>
      <c r="K24" s="35">
        <v>5.614583333333333E-4</v>
      </c>
      <c r="L24" s="35"/>
    </row>
    <row r="25" spans="1:12" x14ac:dyDescent="0.35">
      <c r="A25" s="7"/>
      <c r="B25" s="8"/>
      <c r="C25" s="4" t="s">
        <v>15</v>
      </c>
      <c r="D25" s="16"/>
      <c r="E25" s="9">
        <f>IF(E24="DQ",0,IF(E24&lt;$D$24,0,1+COUNTIFS($E$24:$K$24,"DQ")+COUNTIFS($E$24:$K$24,"&lt;"&amp;$D$24)+COUNTIF($E$24:$K$24,"&gt;"&amp;E$24)))</f>
        <v>4</v>
      </c>
      <c r="F25" s="14" cm="1">
        <f t="array" ref="F25">_xlfn.IFS(E25=4,1,E25=3,2,E25=2,3,E25=1,4,E24&lt;$D$24,"Too Fast",E24="DQ","DQ")</f>
        <v>1</v>
      </c>
      <c r="G25" s="9">
        <f t="shared" ref="G25" si="24">IF(G24="DQ",0,IF(G24&lt;$D$24,0,1+COUNTIFS($E$24:$K$24,"DQ")+COUNTIFS($E$24:$K$24,"&lt;"&amp;$D$24)+COUNTIF($E$24:$K$24,"&gt;"&amp;G$24)))</f>
        <v>1</v>
      </c>
      <c r="H25" s="14" cm="1">
        <f t="array" ref="H25">_xlfn.IFS(G25=4,1,G25=3,2,G25=2,3,G25=1,4,G24&lt;$D$24,"Too Fast",G24="DQ","DQ")</f>
        <v>4</v>
      </c>
      <c r="I25" s="9">
        <f t="shared" ref="I25" si="25">IF(I24="DQ",0,IF(I24&lt;$D$24,0,1+COUNTIFS($E$24:$K$24,"DQ")+COUNTIFS($E$24:$K$24,"&lt;"&amp;$D$24)+COUNTIF($E$24:$K$24,"&gt;"&amp;I$24)))</f>
        <v>2</v>
      </c>
      <c r="J25" s="14" cm="1">
        <f t="array" ref="J25">_xlfn.IFS(I25=4,1,I25=3,2,I25=2,3,I25=1,4,I24&lt;$D$24,"Too Fast",I24="DQ","DQ")</f>
        <v>3</v>
      </c>
      <c r="K25" s="9">
        <f t="shared" ref="K25" si="26">IF(K24="DQ",0,IF(K24&lt;$D$24,0,1+COUNTIFS($E$24:$K$24,"DQ")+COUNTIFS($E$24:$K$24,"&lt;"&amp;$D$24)+COUNTIF($E$24:$K$24,"&gt;"&amp;K$24)))</f>
        <v>3</v>
      </c>
      <c r="L25" s="14" cm="1">
        <f t="array" ref="L25">_xlfn.IFS(K25=4,1,K25=3,2,K25=2,3,K25=1,4,K24&lt;$D$24,"Too Fast",K24="DQ","DQ")</f>
        <v>2</v>
      </c>
    </row>
    <row r="26" spans="1:12" x14ac:dyDescent="0.35">
      <c r="A26" s="2"/>
      <c r="B26" s="12" t="s">
        <v>27</v>
      </c>
      <c r="C26" s="3"/>
      <c r="D26" s="16"/>
      <c r="E26" s="13">
        <f>E7+E9+E11+E13+E15+E17+E19+E21+E23+E25</f>
        <v>23</v>
      </c>
      <c r="F26" s="13"/>
      <c r="G26" s="13">
        <f t="shared" ref="G26:K26" si="27">G7+G9+G11+G13+G15+G17+G19+G21+G23+G25</f>
        <v>29</v>
      </c>
      <c r="H26" s="13"/>
      <c r="I26" s="13">
        <f t="shared" si="27"/>
        <v>28</v>
      </c>
      <c r="J26" s="13"/>
      <c r="K26" s="13">
        <f t="shared" si="27"/>
        <v>20</v>
      </c>
      <c r="L26" s="18"/>
    </row>
    <row r="27" spans="1:12" x14ac:dyDescent="0.35">
      <c r="A27" s="5">
        <v>11</v>
      </c>
      <c r="B27" s="10" t="s">
        <v>28</v>
      </c>
      <c r="C27" s="2" t="s">
        <v>14</v>
      </c>
      <c r="D27" s="16">
        <v>8.2986111111111119E-4</v>
      </c>
      <c r="E27" s="35">
        <v>9.9120370370370378E-4</v>
      </c>
      <c r="F27" s="35"/>
      <c r="G27" s="35">
        <v>9.3032407407407397E-4</v>
      </c>
      <c r="H27" s="35"/>
      <c r="I27" s="35">
        <v>8.605324074074073E-4</v>
      </c>
      <c r="J27" s="35"/>
      <c r="K27" s="35">
        <v>8.8611111111111117E-4</v>
      </c>
      <c r="L27" s="35"/>
    </row>
    <row r="28" spans="1:12" x14ac:dyDescent="0.35">
      <c r="A28" s="7"/>
      <c r="B28" s="8"/>
      <c r="C28" s="4" t="s">
        <v>15</v>
      </c>
      <c r="D28" s="16"/>
      <c r="E28" s="9">
        <f>IF(E27="DQ",0,IF(E27&lt;$D$27,0,1+COUNTIFS($E$27:$K$27,"DQ")+COUNTIFS($E$27:$K$27,"&lt;"&amp;$D$27)+COUNTIF($E$27:$K$27,"&gt;"&amp;E$27)))</f>
        <v>1</v>
      </c>
      <c r="F28" s="14" cm="1">
        <f t="array" ref="F28">_xlfn.IFS(E28=4,1,E28=3,2,E28=2,3,E28=1,4,E27&lt;$D$27,"Too Fast",E27="DQ","DQ")</f>
        <v>4</v>
      </c>
      <c r="G28" s="9">
        <f t="shared" ref="G28" si="28">IF(G27="DQ",0,IF(G27&lt;$D$27,0,1+COUNTIFS($E$27:$K$27,"DQ")+COUNTIFS($E$27:$K$27,"&lt;"&amp;$D$27)+COUNTIF($E$27:$K$27,"&gt;"&amp;G$27)))</f>
        <v>2</v>
      </c>
      <c r="H28" s="14" cm="1">
        <f t="array" ref="H28">_xlfn.IFS(G28=4,1,G28=3,2,G28=2,3,G28=1,4,G27&lt;$D$27,"Too Fast",G27="DQ","DQ")</f>
        <v>3</v>
      </c>
      <c r="I28" s="9">
        <f t="shared" ref="I28" si="29">IF(I27="DQ",0,IF(I27&lt;$D$27,0,1+COUNTIFS($E$27:$K$27,"DQ")+COUNTIFS($E$27:$K$27,"&lt;"&amp;$D$27)+COUNTIF($E$27:$K$27,"&gt;"&amp;I$27)))</f>
        <v>4</v>
      </c>
      <c r="J28" s="14" cm="1">
        <f t="array" ref="J28">_xlfn.IFS(I28=4,1,I28=3,2,I28=2,3,I28=1,4,I27&lt;$D$27,"Too Fast",I27="DQ","DQ")</f>
        <v>1</v>
      </c>
      <c r="K28" s="9">
        <f t="shared" ref="K28" si="30">IF(K27="DQ",0,IF(K27&lt;$D$27,0,1+COUNTIFS($E$27:$K$27,"DQ")+COUNTIFS($E$27:$K$27,"&lt;"&amp;$D$27)+COUNTIF($E$27:$K$27,"&gt;"&amp;K$27)))</f>
        <v>3</v>
      </c>
      <c r="L28" s="14" cm="1">
        <f t="array" ref="L28">_xlfn.IFS(K28=4,1,K28=3,2,K28=2,3,K28=1,4,K27&lt;$D$27,"Too Fast",K27="DQ","DQ")</f>
        <v>2</v>
      </c>
    </row>
    <row r="29" spans="1:12" x14ac:dyDescent="0.35">
      <c r="A29" s="5">
        <v>12</v>
      </c>
      <c r="B29" s="10" t="s">
        <v>29</v>
      </c>
      <c r="C29" s="2" t="s">
        <v>14</v>
      </c>
      <c r="D29" s="16">
        <v>7.1643518518518519E-4</v>
      </c>
      <c r="E29" s="35">
        <v>8.2118055555555557E-4</v>
      </c>
      <c r="F29" s="35"/>
      <c r="G29" s="35">
        <v>8.3854166666666669E-4</v>
      </c>
      <c r="H29" s="35"/>
      <c r="I29" s="35">
        <v>7.6828703703703694E-4</v>
      </c>
      <c r="J29" s="35"/>
      <c r="K29" s="35">
        <v>8.1828703703703707E-4</v>
      </c>
      <c r="L29" s="35"/>
    </row>
    <row r="30" spans="1:12" x14ac:dyDescent="0.35">
      <c r="A30" s="7"/>
      <c r="B30" s="8"/>
      <c r="C30" s="4" t="s">
        <v>15</v>
      </c>
      <c r="D30" s="16"/>
      <c r="E30" s="9">
        <f>IF(E29="DQ",0,IF(E29&lt;$D$29,0,1+COUNTIFS($E$29:$K$29,"DQ")+COUNTIFS($E$29:$K$29,"&lt;"&amp;$D$29)+COUNTIF($E$29:$K$29,"&gt;"&amp;E$29)))</f>
        <v>2</v>
      </c>
      <c r="F30" s="14" cm="1">
        <f t="array" ref="F30">_xlfn.IFS(E30=4,1,E30=3,2,E30=2,3,E30=1,4,E29&lt;$D$29,"Too Fast",E29="DQ","DQ")</f>
        <v>3</v>
      </c>
      <c r="G30" s="9">
        <f>IF(G29="DQ",0,IF(G29&lt;$D$29,0,1+COUNTIFS($E$29:$K$29,"DQ")+COUNTIFS($E$29:$K$29,"&lt;"&amp;$D$29)+COUNTIF($E$29:$K$29,"&gt;"&amp;G$29)))</f>
        <v>1</v>
      </c>
      <c r="H30" s="14" cm="1">
        <f t="array" ref="H30">_xlfn.IFS(G30=4,1,G30=3,2,G30=2,3,G30=1,4,G29&lt;$D$29,"Too Fast",G29="DQ","DQ")</f>
        <v>4</v>
      </c>
      <c r="I30" s="9">
        <f>IF(I29="DQ",0,IF(I29&lt;$D$29,0,1+COUNTIFS($E$29:$K$29,"DQ")+COUNTIFS($E$29:$K$29,"&lt;"&amp;$D$29)+COUNTIF($E$29:$K$29,"&gt;"&amp;I$29)))</f>
        <v>4</v>
      </c>
      <c r="J30" s="14" cm="1">
        <f t="array" ref="J30">_xlfn.IFS(I30=4,1,I30=3,2,I30=2,3,I30=1,4,I29&lt;$D$29,"Too Fast",I29="DQ","DQ")</f>
        <v>1</v>
      </c>
      <c r="K30" s="9">
        <f>IF(K29="DQ",0,IF(K29&lt;$D$29,0,1+COUNTIFS($E$29:$K$29,"DQ")+COUNTIFS($E$29:$K$29,"&lt;"&amp;$D$29)+COUNTIF($E$29:$K$29,"&gt;"&amp;K$29)))</f>
        <v>3</v>
      </c>
      <c r="L30" s="14" cm="1">
        <f t="array" ref="L30">_xlfn.IFS(K30=4,1,K30=3,2,K30=2,3,K30=1,4,K29&lt;$D$29,"Too Fast",K29="DQ","DQ")</f>
        <v>2</v>
      </c>
    </row>
    <row r="31" spans="1:12" x14ac:dyDescent="0.35">
      <c r="A31" s="5">
        <v>13</v>
      </c>
      <c r="B31" s="10" t="s">
        <v>30</v>
      </c>
      <c r="C31" s="2" t="s">
        <v>14</v>
      </c>
      <c r="D31" s="16">
        <v>1.0592592592592591E-3</v>
      </c>
      <c r="E31" s="35">
        <v>1.5746527777777779E-3</v>
      </c>
      <c r="F31" s="35"/>
      <c r="G31" s="36" t="s">
        <v>85</v>
      </c>
      <c r="H31" s="37"/>
      <c r="I31" s="36">
        <v>1.338888888888889E-3</v>
      </c>
      <c r="J31" s="37"/>
      <c r="K31" s="36">
        <v>1.4614583333333333E-3</v>
      </c>
      <c r="L31" s="37"/>
    </row>
    <row r="32" spans="1:12" x14ac:dyDescent="0.35">
      <c r="A32" s="7"/>
      <c r="B32" s="8"/>
      <c r="C32" s="4" t="s">
        <v>15</v>
      </c>
      <c r="D32" s="16"/>
      <c r="E32" s="9">
        <f>IF(E31="DQ",0,IF(E31&lt;$D$31,0,1+COUNTIFS($E$31:$T$31,"DQ")+COUNTIFS($E$31:$T$31,"&lt;"&amp;$D$31)+COUNTIF($E$31:$T$31,"&gt;"&amp;E$31)))</f>
        <v>2</v>
      </c>
      <c r="F32" s="14" cm="1">
        <f t="array" ref="F32">_xlfn.IFS(E32=4,1,E32=3,2,E32=2,3,E32=1,4,E31&lt;$D$31,"Too Fast",E31="DQ","DQ")</f>
        <v>3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_xlfn.IFS(G32=4,1,G32=3,2,G32=2,3,G32=1,4,G31&lt;$D$31,"Too Fast",G31="DQ","DQ")</f>
        <v>DQ</v>
      </c>
      <c r="I32" s="9">
        <f>IF(I31="DQ",0,IF(I31&lt;$D$31,0,1+COUNTIFS($E$31:$T$31,"DQ")+COUNTIFS($E$31:$T$31,"&lt;"&amp;$D$31)+COUNTIF($E$31:$T$31,"&gt;"&amp;I$31)))</f>
        <v>4</v>
      </c>
      <c r="J32" s="14" cm="1">
        <f t="array" ref="J32">_xlfn.IFS(I32=4,1,I32=3,2,I32=2,3,I32=1,4,I31&lt;$D$31,"Too Fast",I31="DQ","DQ")</f>
        <v>1</v>
      </c>
      <c r="K32" s="9">
        <f>IF(K31="DQ",0,IF(K31&lt;$D$31,0,1+COUNTIFS($E$31:$T$31,"DQ")+COUNTIFS($E$31:$T$31,"&lt;"&amp;$D$31)+COUNTIF($E$31:$T$31,"&gt;"&amp;K$31)))</f>
        <v>3</v>
      </c>
      <c r="L32" s="14" cm="1">
        <f t="array" ref="L32">_xlfn.IFS(K32=4,1,K32=3,2,K32=2,3,K32=1,4,K31&lt;$D$31,"Too Fast",K31="DQ","DQ")</f>
        <v>2</v>
      </c>
    </row>
    <row r="33" spans="1:21" x14ac:dyDescent="0.35">
      <c r="A33" s="5">
        <v>14</v>
      </c>
      <c r="B33" s="10" t="s">
        <v>31</v>
      </c>
      <c r="C33" s="2" t="s">
        <v>14</v>
      </c>
      <c r="D33" s="16">
        <v>1.0494212962962963E-3</v>
      </c>
      <c r="E33" s="35" t="s">
        <v>86</v>
      </c>
      <c r="F33" s="35"/>
      <c r="G33" s="35">
        <v>1.4094907407407407E-3</v>
      </c>
      <c r="H33" s="35"/>
      <c r="I33" s="35">
        <v>1.5512731481481482E-3</v>
      </c>
      <c r="J33" s="35"/>
      <c r="K33" s="35">
        <v>1.5188657407407405E-3</v>
      </c>
      <c r="L33" s="35"/>
    </row>
    <row r="34" spans="1:21" x14ac:dyDescent="0.35">
      <c r="A34" s="7"/>
      <c r="B34" s="8"/>
      <c r="C34" s="4" t="s">
        <v>15</v>
      </c>
      <c r="D34" s="16"/>
      <c r="E34" s="9">
        <f>IF(E33="DQ",0,IF(E33&lt;$D$33,0,1+COUNTIFS($E$33:$K$33,"DQ")+COUNTIFS($E$33:$K$33,"&lt;"&amp;$D$33)+COUNTIF($E$33:$K$33,"&gt;"&amp;E33)))</f>
        <v>1</v>
      </c>
      <c r="F34" s="14" cm="1">
        <f t="array" ref="F34">_xlfn.IFS(E34=4,1,E34=3,2,E34=2,3,E34=1,4,E33&lt;$D$33,"Too Fast",E33="DQ","DQ")</f>
        <v>4</v>
      </c>
      <c r="G34" s="9">
        <f>IF(G33="DQ",0,IF(G33&lt;D33,0,1+COUNTIFS($E$33:$K$33,"DQ")+COUNTIFS($E$33:$K$33,"&lt;"&amp;D33)+COUNTIF($E$33:$K$33,"&gt;"&amp;G$33)))</f>
        <v>3</v>
      </c>
      <c r="H34" s="14" cm="1">
        <f t="array" ref="H34">_xlfn.IFS(G34=4,1,G34=3,2,G34=2,3,G34=1,4,G33&lt;$D$33,"Too Fast",G33="DQ","DQ")</f>
        <v>2</v>
      </c>
      <c r="I34" s="9">
        <f>IF(I33="DQ",0,IF(I33&lt;D33,0,1+COUNTIFS($E$33:$K$33,"DQ")+COUNTIFS($E$33:$K$33,"&lt;"&amp;D33)+COUNTIF($E$33:$K$33,"&gt;"&amp;I33)))</f>
        <v>1</v>
      </c>
      <c r="J34" s="14" cm="1">
        <f t="array" ref="J34">_xlfn.IFS(I34=4,1,I34=3,2,I34=2,3,I34=1,4,I33&lt;$D$33,"Too Fast",I33="DQ","DQ")</f>
        <v>4</v>
      </c>
      <c r="K34" s="9">
        <f>IF(K33="DQ",0,IF(K33&lt;D33,0,1+COUNTIFS($E$33:$K$33,"DQ")+COUNTIFS($E$33:$K$33,"&lt;"&amp;D33)+COUNTIF($E$33:$K$33,"&gt;"&amp;K$33)))</f>
        <v>2</v>
      </c>
      <c r="L34" s="14" cm="1">
        <f t="array" ref="L34">_xlfn.IFS(K34=4,1,K34=3,2,K34=2,3,K34=1,4,K33&lt;$D$33,"Too Fast",K33="DQ","DQ")</f>
        <v>3</v>
      </c>
    </row>
    <row r="35" spans="1:21" x14ac:dyDescent="0.35">
      <c r="A35" s="5">
        <v>15</v>
      </c>
      <c r="B35" s="10" t="s">
        <v>32</v>
      </c>
      <c r="C35" s="2" t="s">
        <v>14</v>
      </c>
      <c r="D35" s="16">
        <v>8.8101851851851861E-4</v>
      </c>
      <c r="E35" s="35">
        <v>1.0990740740740741E-3</v>
      </c>
      <c r="F35" s="35"/>
      <c r="G35" s="35">
        <v>1.0668981481481482E-3</v>
      </c>
      <c r="H35" s="35"/>
      <c r="I35" s="35">
        <v>1.0160879629629628E-3</v>
      </c>
      <c r="J35" s="35"/>
      <c r="K35" s="35" t="s">
        <v>85</v>
      </c>
      <c r="L35" s="35"/>
    </row>
    <row r="36" spans="1:21" x14ac:dyDescent="0.35">
      <c r="A36" s="7"/>
      <c r="B36" s="8"/>
      <c r="C36" s="4" t="s">
        <v>15</v>
      </c>
      <c r="D36" s="16"/>
      <c r="E36" s="9">
        <f>IF(E35="DQ",0,IF(E35&lt;$D$35,0,1+COUNTIFS($E$35:$K$35,"DQ")+COUNTIFS($E$35:$K$35,"&lt;"&amp;$D$35)+COUNTIF($E$35:$K$35,"&gt;"&amp;E35)))</f>
        <v>2</v>
      </c>
      <c r="F36" s="14" cm="1">
        <f t="array" ref="F36">_xlfn.IFS(E36=4,1,E36=3,2,E36=2,3,E36=1,4,E35&lt;$D$35,"Too Fast",E35="DQ","DQ")</f>
        <v>3</v>
      </c>
      <c r="G36" s="9">
        <f>IF(G35="DQ",0,IF(G35&lt;$D$35,0,1+COUNTIFS($E$35:$K$35,"DQ")+COUNTIFS($E$35:$K$35,"&lt;"&amp;$D$35)+COUNTIF($E$35:$K$35,"&gt;"&amp;G35)))</f>
        <v>3</v>
      </c>
      <c r="H36" s="14" cm="1">
        <f t="array" ref="H36">_xlfn.IFS(G36=4,1,G36=3,2,G36=2,3,G36=1,4,G35&lt;$D$35,"Too Fast",G35="DQ","DQ")</f>
        <v>2</v>
      </c>
      <c r="I36" s="9">
        <f>IF(I35="DQ",0,IF(I35&lt;$D$35,0,1+COUNTIFS($E$35:$K$35,"DQ")+COUNTIFS($E$35:$K$35,"&lt;"&amp;$D$35)+COUNTIF($E$35:$K$35,"&gt;"&amp;I35)))</f>
        <v>4</v>
      </c>
      <c r="J36" s="14" cm="1">
        <f t="array" ref="J36">_xlfn.IFS(I36=4,1,I36=3,2,I36=2,3,I36=1,4,I35&lt;$D$35,"Too Fast",I35="DQ","DQ")</f>
        <v>1</v>
      </c>
      <c r="K36" s="9">
        <f>IF(K35="DQ",0,IF(K35&lt;$D$35,0,1+COUNTIFS($E$35:$K$35,"DQ")+COUNTIFS($E$35:$K$35,"&lt;"&amp;$D$35)+COUNTIF($E$35:$K$35,"&gt;"&amp;K35)))</f>
        <v>0</v>
      </c>
      <c r="L36" s="14" t="str" cm="1">
        <f t="array" ref="L36">_xlfn.IFS(K36=4,1,K36=3,2,K36=2,3,K36=1,4,K35&lt;$D$35,"Too Fast",K35="DQ","DQ")</f>
        <v>DQ</v>
      </c>
    </row>
    <row r="37" spans="1:21" x14ac:dyDescent="0.35">
      <c r="A37" s="5">
        <v>16</v>
      </c>
      <c r="B37" s="10" t="s">
        <v>33</v>
      </c>
      <c r="C37" s="2" t="s">
        <v>14</v>
      </c>
      <c r="D37" s="16">
        <v>8.4131944444444445E-4</v>
      </c>
      <c r="E37" s="35">
        <v>1.1641203703703703E-3</v>
      </c>
      <c r="F37" s="35"/>
      <c r="G37" s="35" t="s">
        <v>85</v>
      </c>
      <c r="H37" s="35"/>
      <c r="I37" s="35">
        <v>1.0774305555555556E-3</v>
      </c>
      <c r="J37" s="35"/>
      <c r="K37" s="35">
        <v>9.9375000000000006E-4</v>
      </c>
      <c r="L37" s="35"/>
    </row>
    <row r="38" spans="1:21" x14ac:dyDescent="0.35">
      <c r="A38" s="7"/>
      <c r="B38" s="8"/>
      <c r="C38" s="4" t="s">
        <v>15</v>
      </c>
      <c r="D38" s="16"/>
      <c r="E38" s="9">
        <f>IF(E37="DQ",0,IF(E37&lt;$D$37,0,1+COUNTIFS($E$37:$K$37,"DQ")+COUNTIFS($E$37:$K$37,"&lt;"&amp;$D$37)+COUNTIF($E$37:$K$37,"&gt;"&amp;E37)))</f>
        <v>2</v>
      </c>
      <c r="F38" s="14" cm="1">
        <f t="array" ref="F38">_xlfn.IFS(E38=4,1,E38=3,2,E38=2,3,E38=1,4,E37&lt;$D$37,"Too Fast",E37="DQ","DQ")</f>
        <v>3</v>
      </c>
      <c r="G38" s="9">
        <f>IF(G37="DQ",0,IF(G37&lt;$D$37,0,1+COUNTIFS($E$37:$K$37,"DQ")+COUNTIFS($E$37:$K$37,"&lt;"&amp;$D$37)+COUNTIF($E$37:$K$37,"&gt;"&amp;G37)))</f>
        <v>0</v>
      </c>
      <c r="H38" s="14" t="str" cm="1">
        <f t="array" ref="H38">_xlfn.IFS(G38=4,1,G38=3,2,G38=2,3,G38=1,4,G37&lt;$D$37,"Too Fast",G37="DQ","DQ")</f>
        <v>DQ</v>
      </c>
      <c r="I38" s="9">
        <f>IF(I37="DQ",0,IF(I37&lt;$D$37,0,1+COUNTIFS($E$37:$K$37,"DQ")+COUNTIFS($E$37:$K$37,"&lt;"&amp;$D$37)+COUNTIF($E$37:$K$37,"&gt;"&amp;I37)))</f>
        <v>3</v>
      </c>
      <c r="J38" s="14" cm="1">
        <f t="array" ref="J38">_xlfn.IFS(I38=4,1,I38=3,2,I38=2,3,I38=1,4,I37&lt;$D$37,"Too Fast",I37="DQ","DQ")</f>
        <v>2</v>
      </c>
      <c r="K38" s="9">
        <f>IF(K37="DQ",0,IF(K37&lt;$D$37,0,1+COUNTIFS($E$37:$K$37,"DQ")+COUNTIFS($E$37:$K$37,"&lt;"&amp;$D$37)+COUNTIF($E$37:$K$37,"&gt;"&amp;K37)))</f>
        <v>4</v>
      </c>
      <c r="L38" s="14" cm="1">
        <f t="array" ref="L38">_xlfn.IFS(K38=4,1,K38=3,2,K38=2,3,K38=1,4,K37&lt;$D$37,"Too Fast",K37="DQ","DQ")</f>
        <v>1</v>
      </c>
      <c r="R38" s="21"/>
    </row>
    <row r="39" spans="1:21" x14ac:dyDescent="0.35">
      <c r="A39" s="5">
        <v>17</v>
      </c>
      <c r="B39" s="10" t="s">
        <v>34</v>
      </c>
      <c r="C39" s="2" t="s">
        <v>23</v>
      </c>
      <c r="D39" s="16">
        <v>5.8819444444444446E-4</v>
      </c>
      <c r="E39" s="35">
        <v>6.5543981481481486E-4</v>
      </c>
      <c r="F39" s="35"/>
      <c r="G39" s="35">
        <v>6.4999999999999997E-4</v>
      </c>
      <c r="H39" s="35"/>
      <c r="I39" s="35">
        <v>6.7453703703703708E-4</v>
      </c>
      <c r="J39" s="35"/>
      <c r="K39" s="35">
        <v>6.9537037037037039E-4</v>
      </c>
      <c r="L39" s="35"/>
      <c r="R39" s="21"/>
      <c r="S39" s="21"/>
      <c r="T39" s="21"/>
      <c r="U39" s="21"/>
    </row>
    <row r="40" spans="1:21" x14ac:dyDescent="0.35">
      <c r="A40" s="7"/>
      <c r="B40" s="8"/>
      <c r="C40" s="4" t="s">
        <v>15</v>
      </c>
      <c r="D40" s="16"/>
      <c r="E40" s="9">
        <f>IF(E39="DQ",0,IF(E39&lt;$D$39,0,1+COUNTIFS($E$39:$K$39,"DQ")+COUNTIFS($E$39:$K$39,"&lt;"&amp;$D$39)+COUNTIF($E$39:$K$39,"&gt;"&amp;E39)))</f>
        <v>3</v>
      </c>
      <c r="F40" s="14" cm="1">
        <f t="array" ref="F40">_xlfn.IFS(E40=4,1,E40=3,2,E40=2,3,E40=1,4,E39&lt;$D$39,"Too Fast",E39="DQ","DQ")</f>
        <v>2</v>
      </c>
      <c r="G40" s="9">
        <f>IF(G39="DQ",0,IF(G39&lt;$D$39,0,1+COUNTIFS($E$39:$K$39,"DQ")+COUNTIFS($E$39:$K$39,"&lt;"&amp;$D$39)+COUNTIF($E$39:$K$39,"&gt;"&amp;G39)))</f>
        <v>4</v>
      </c>
      <c r="H40" s="14" cm="1">
        <f t="array" ref="H40">_xlfn.IFS(G40=4,1,G40=3,2,G40=2,3,G40=1,4,G39&lt;$D$39,"Too Fast",G39="DQ","DQ")</f>
        <v>1</v>
      </c>
      <c r="I40" s="9">
        <f>IF(I39="DQ",0,IF(I39&lt;$D$39,0,1+COUNTIFS($E$39:$K$39,"DQ")+COUNTIFS($E$39:$K$39,"&lt;"&amp;$D$39)+COUNTIF($E$39:$K$39,"&gt;"&amp;I39)))</f>
        <v>2</v>
      </c>
      <c r="J40" s="14" cm="1">
        <f t="array" ref="J40">_xlfn.IFS(I40=4,1,I40=3,2,I40=2,3,I40=1,4,I39&lt;$D$39,"Too Fast",I39="DQ","DQ")</f>
        <v>3</v>
      </c>
      <c r="K40" s="9">
        <f>IF(K39="DQ",0,IF(K39&lt;$D$39,0,1+COUNTIFS($E$39:$K$39,"DQ")+COUNTIFS($E$39:$K$39,"&lt;"&amp;$D$39)+COUNTIF($E$39:$K$39,"&gt;"&amp;K39)))</f>
        <v>1</v>
      </c>
      <c r="L40" s="14" cm="1">
        <f t="array" ref="L40">_xlfn.IFS(K40=4,1,K40=3,2,K40=2,3,K40=1,4,K39&lt;$D$39,"Too Fast",K39="DQ","DQ")</f>
        <v>4</v>
      </c>
      <c r="Q40" s="22"/>
    </row>
    <row r="41" spans="1:21" x14ac:dyDescent="0.35">
      <c r="A41" s="5">
        <v>18</v>
      </c>
      <c r="B41" s="10" t="s">
        <v>35</v>
      </c>
      <c r="C41" s="2" t="s">
        <v>23</v>
      </c>
      <c r="D41" s="16">
        <v>5.7141203703703705E-4</v>
      </c>
      <c r="E41" s="35">
        <v>6.8032407407407408E-4</v>
      </c>
      <c r="F41" s="35"/>
      <c r="G41" s="35">
        <v>7.2546296296296291E-4</v>
      </c>
      <c r="H41" s="35"/>
      <c r="I41" s="35">
        <v>6.5601851851851856E-4</v>
      </c>
      <c r="J41" s="35"/>
      <c r="K41" s="35">
        <v>6.1782407407407413E-4</v>
      </c>
      <c r="L41" s="35"/>
      <c r="P41" s="21"/>
      <c r="Q41" s="22"/>
    </row>
    <row r="42" spans="1:21" x14ac:dyDescent="0.35">
      <c r="A42" s="7"/>
      <c r="B42" s="8"/>
      <c r="C42" s="4" t="s">
        <v>15</v>
      </c>
      <c r="D42" s="16"/>
      <c r="E42" s="9">
        <f>IF(E41="DQ",0,IF(E41&lt;$D$41,0,1+COUNTIFS($E$41:$K$41,"DQ")+COUNTIFS($E$41:$K$41,"&lt;"&amp;$D$41)+COUNTIF($E$41:$K$41,"&gt;"&amp;E41)))</f>
        <v>2</v>
      </c>
      <c r="F42" s="14" cm="1">
        <f t="array" ref="F42">_xlfn.IFS(E42=4,1,E42=3,2,E42=2,3,E42=1,4,E41&lt;$D$41,"Too Fast",E41="DQ","DQ")</f>
        <v>3</v>
      </c>
      <c r="G42" s="9">
        <f>IF(G41="DQ",0,IF(G41&lt;$D$41,0,1+COUNTIFS($E$41:$K$41,"DQ")+COUNTIFS($E$41:$K$41,"&lt;"&amp;$D$41)+COUNTIF($E$41:$K$41,"&gt;"&amp;G41)))</f>
        <v>1</v>
      </c>
      <c r="H42" s="14" cm="1">
        <f t="array" ref="H42">_xlfn.IFS(G42=4,1,G42=3,2,G42=2,3,G42=1,4,G41&lt;$D$41,"Too Fast",G41="DQ","DQ")</f>
        <v>4</v>
      </c>
      <c r="I42" s="9">
        <f>IF(I41="DQ",0,IF(I41&lt;$D$41,0,1+COUNTIFS($E$41:$K$41,"DQ")+COUNTIFS($E$41:$K$41,"&lt;"&amp;$D$41)+COUNTIF($E$41:$K$41,"&gt;"&amp;I41)))</f>
        <v>3</v>
      </c>
      <c r="J42" s="14" cm="1">
        <f t="array" ref="J42">_xlfn.IFS(I42=4,1,I42=3,2,I42=2,3,I42=1,4,I41&lt;$D$41,"Too Fast",I41="DQ","DQ")</f>
        <v>2</v>
      </c>
      <c r="K42" s="9">
        <f>IF(K41="DQ",0,IF(K41&lt;$D$41,0,1+COUNTIFS($E$41:$K$41,"DQ")+COUNTIFS($E$41:$K$41,"&lt;"&amp;$D$41)+COUNTIF($E$41:$K$41,"&gt;"&amp;K41)))</f>
        <v>4</v>
      </c>
      <c r="L42" s="14" cm="1">
        <f t="array" ref="L42">_xlfn.IFS(K42=4,1,K42=3,2,K42=2,3,K42=1,4,K41&lt;$D$41,"Too Fast",K41="DQ","DQ")</f>
        <v>1</v>
      </c>
      <c r="P42" s="21"/>
      <c r="Q42" s="22"/>
    </row>
    <row r="43" spans="1:21" x14ac:dyDescent="0.35">
      <c r="A43" s="5">
        <v>19</v>
      </c>
      <c r="B43" s="10" t="s">
        <v>36</v>
      </c>
      <c r="C43" s="2" t="s">
        <v>14</v>
      </c>
      <c r="D43" s="16">
        <v>8.0439814814814816E-4</v>
      </c>
      <c r="E43" s="35">
        <v>9.2291666666666661E-4</v>
      </c>
      <c r="F43" s="35"/>
      <c r="G43" s="35">
        <v>9.8611111111111122E-4</v>
      </c>
      <c r="H43" s="35"/>
      <c r="I43" s="35">
        <v>8.7881944444444455E-4</v>
      </c>
      <c r="J43" s="35"/>
      <c r="K43" s="35">
        <v>9.471064814814815E-4</v>
      </c>
      <c r="L43" s="35"/>
      <c r="P43" s="21"/>
      <c r="Q43" s="22"/>
    </row>
    <row r="44" spans="1:21" x14ac:dyDescent="0.35">
      <c r="A44" s="7"/>
      <c r="B44" s="8"/>
      <c r="C44" s="4" t="s">
        <v>15</v>
      </c>
      <c r="D44" s="16"/>
      <c r="E44" s="9">
        <f>IF(E43="DQ",0,IF(E43&lt;$D$43,0,1+COUNTIFS($E$43:$K$43,"DQ")+COUNTIFS($E$43:$K$43,"&lt;"&amp;$D$43)+COUNTIF($E$43:$K$43,"&gt;"&amp;E43)))</f>
        <v>3</v>
      </c>
      <c r="F44" s="14" cm="1">
        <f t="array" ref="F44">_xlfn.IFS(E44=4,1,E44=3,2,E44=2,3,E44=1,4,E43&lt;$D$43,"Too Fast",E43="DQ","DQ")</f>
        <v>2</v>
      </c>
      <c r="G44" s="9">
        <f>IF(G43="DQ",0,IF(G43&lt;$D$43,0,1+COUNTIFS($E$43:$K$43,"DQ")+COUNTIFS($E$43:$K$43,"&lt;"&amp;$D$43)+COUNTIF($E$43:$K$43,"&gt;"&amp;G43)))</f>
        <v>1</v>
      </c>
      <c r="H44" s="14" cm="1">
        <f t="array" ref="H44">_xlfn.IFS(G44=4,1,G44=3,2,G44=2,3,G44=1,4,G43&lt;$D$43,"Too Fast",G43="DQ","DQ")</f>
        <v>4</v>
      </c>
      <c r="I44" s="9">
        <f>IF(I43="DQ",0,IF(I43&lt;$D$43,0,1+COUNTIFS($E$43:$K$43,"DQ")+COUNTIFS($E$43:$K$43,"&lt;"&amp;$D$43)+COUNTIF($E$43:$K$43,"&gt;"&amp;I43)))</f>
        <v>4</v>
      </c>
      <c r="J44" s="14" cm="1">
        <f t="array" ref="J44">_xlfn.IFS(I44=4,1,I44=3,2,I44=2,3,I44=1,4,I43&lt;$D$43,"Too Fast",I43="DQ","DQ")</f>
        <v>1</v>
      </c>
      <c r="K44" s="9">
        <f>IF(K43="DQ",0,IF(K43&lt;$D$43,0,1+COUNTIFS($E$43:$K$43,"DQ")+COUNTIFS($E$43:$K$43,"&lt;"&amp;$D$43)+COUNTIF($E$43:$K$43,"&gt;"&amp;K43)))</f>
        <v>2</v>
      </c>
      <c r="L44" s="14" cm="1">
        <f t="array" ref="L44">_xlfn.IFS(K44=4,1,K44=3,2,K44=2,3,K44=1,4,K43&lt;$D$43,"Too Fast",K43="DQ","DQ")</f>
        <v>3</v>
      </c>
      <c r="Q44" s="22"/>
    </row>
    <row r="45" spans="1:21" x14ac:dyDescent="0.35">
      <c r="A45" s="5">
        <v>20</v>
      </c>
      <c r="B45" s="10" t="s">
        <v>37</v>
      </c>
      <c r="C45" s="2" t="s">
        <v>14</v>
      </c>
      <c r="D45" s="16">
        <v>7.337962962962963E-4</v>
      </c>
      <c r="E45" s="35">
        <v>8.7557870370370372E-4</v>
      </c>
      <c r="F45" s="35"/>
      <c r="G45" s="35">
        <v>8.5740740740740742E-4</v>
      </c>
      <c r="H45" s="35"/>
      <c r="I45" s="35">
        <v>8.0613425925925937E-4</v>
      </c>
      <c r="J45" s="35"/>
      <c r="K45" s="35">
        <v>8.4351851851851851E-4</v>
      </c>
      <c r="L45" s="35"/>
      <c r="Q45" s="22"/>
    </row>
    <row r="46" spans="1:21" x14ac:dyDescent="0.35">
      <c r="A46" s="7"/>
      <c r="B46" s="8"/>
      <c r="C46" s="4" t="s">
        <v>15</v>
      </c>
      <c r="D46" s="16"/>
      <c r="E46" s="9">
        <f>IF(E45="DQ",0,IF(E45&lt;$D$45,0,1+COUNTIFS($E$45:$K$45,"DQ")+COUNTIFS($E$45:$K$45,"&lt;"&amp;$D$45)+COUNTIF($E$45:$K$45,"&gt;"&amp;E45)))</f>
        <v>1</v>
      </c>
      <c r="F46" s="14" cm="1">
        <f t="array" ref="F46">_xlfn.IFS(E46=4,1,E46=3,2,E46=2,3,E46=1,4,E45&lt;$D$45,"Too Fast",E45="DQ","DQ")</f>
        <v>4</v>
      </c>
      <c r="G46" s="9">
        <f>IF(G45="DQ",0,IF(G45&lt;$D$45,0,1+COUNTIFS($E$45:$K$45,"DQ")+COUNTIFS($E$45:$K$45,"&lt;"&amp;$D$45)+COUNTIF($E$45:$K$45,"&gt;"&amp;G45)))</f>
        <v>2</v>
      </c>
      <c r="H46" s="14" cm="1">
        <f t="array" ref="H46">_xlfn.IFS(G46=4,1,G46=3,2,G46=2,3,G46=1,4,G45&lt;$D$45,"Too Fast",G45="DQ","DQ")</f>
        <v>3</v>
      </c>
      <c r="I46" s="9">
        <f>IF(I45="DQ",0,IF(I45&lt;$D$45,0,1+COUNTIFS($E$45:$K$45,"DQ")+COUNTIFS($E$45:$K$45,"&lt;"&amp;$D$45)+COUNTIF($E$45:$K$45,"&gt;"&amp;I45)))</f>
        <v>4</v>
      </c>
      <c r="J46" s="14" cm="1">
        <f t="array" ref="J46">_xlfn.IFS(I46=4,1,I46=3,2,I46=2,3,I46=1,4,I45&lt;$D$45,"Too Fast",I45="DQ","DQ")</f>
        <v>1</v>
      </c>
      <c r="K46" s="9">
        <f>IF(K45="DQ",0,IF(K45&lt;$D$45,0,1+COUNTIFS($E$45:$K$45,"DQ")+COUNTIFS($E$45:$K$45,"&lt;"&amp;$D$45)+COUNTIF($E$45:$K$45,"&gt;"&amp;K45)))</f>
        <v>3</v>
      </c>
      <c r="L46" s="14" cm="1">
        <f t="array" ref="L46">_xlfn.IFS(K46=4,1,K46=3,2,K46=2,3,K46=1,4,K45&lt;$D$45,"Too Fast",K45="DQ","DQ")</f>
        <v>2</v>
      </c>
      <c r="Q46" s="22"/>
    </row>
    <row r="47" spans="1:21" x14ac:dyDescent="0.35">
      <c r="A47" s="2"/>
      <c r="B47" s="12" t="s">
        <v>38</v>
      </c>
      <c r="C47" s="2"/>
      <c r="D47" s="16"/>
      <c r="E47" s="19">
        <f>E26+E28+E30+E32+E34+E36+E38+E40+E42+E44+E46</f>
        <v>42</v>
      </c>
      <c r="F47" s="19"/>
      <c r="G47" s="19">
        <f t="shared" ref="G47:K47" si="31">G26+G28+G30+G32+G34+G36+G38+G40+G42+G44+G46</f>
        <v>46</v>
      </c>
      <c r="H47" s="19"/>
      <c r="I47" s="19">
        <f t="shared" si="31"/>
        <v>61</v>
      </c>
      <c r="J47" s="19"/>
      <c r="K47" s="19">
        <f t="shared" si="31"/>
        <v>45</v>
      </c>
      <c r="L47" s="18"/>
      <c r="Q47" s="22"/>
    </row>
    <row r="48" spans="1:21" x14ac:dyDescent="0.35">
      <c r="A48" s="5">
        <v>21</v>
      </c>
      <c r="B48" s="10" t="s">
        <v>39</v>
      </c>
      <c r="C48" s="2" t="s">
        <v>20</v>
      </c>
      <c r="D48" s="16">
        <v>2.4687499999999997E-4</v>
      </c>
      <c r="E48" s="35">
        <v>3.5243055555555554E-4</v>
      </c>
      <c r="F48" s="35"/>
      <c r="G48" s="35">
        <v>3.400462962962963E-4</v>
      </c>
      <c r="H48" s="35"/>
      <c r="I48" s="35">
        <v>2.8032407407407406E-4</v>
      </c>
      <c r="J48" s="35"/>
      <c r="K48" s="35">
        <v>3.2488425925925925E-4</v>
      </c>
      <c r="L48" s="35"/>
      <c r="Q48" s="22"/>
    </row>
    <row r="49" spans="1:17" x14ac:dyDescent="0.35">
      <c r="A49" s="7"/>
      <c r="B49" s="8"/>
      <c r="C49" s="4" t="s">
        <v>15</v>
      </c>
      <c r="D49" s="16"/>
      <c r="E49" s="9">
        <f>IF(E48="DQ",0,IF(E48&lt;$D$48,0,1+COUNTIFS($E$48:$K$48,"DQ")+COUNTIFS($E$48:$K$48,"&lt;"&amp;$D$48)+COUNTIF($E$48:$K$48,"&gt;"&amp;E48)))</f>
        <v>1</v>
      </c>
      <c r="F49" s="14" cm="1">
        <f t="array" ref="F49">_xlfn.IFS(E49=4,1,E49=3,2,E49=2,3,E49=1,4,E48&lt;$D$48,"Too Fast",E48="DQ","DQ")</f>
        <v>4</v>
      </c>
      <c r="G49" s="9">
        <f>IF(G48="DQ",0,IF(G48&lt;$D$48,0,1+COUNTIFS($E$48:$K$48,"DQ")+COUNTIFS($E$48:$K$48,"&lt;"&amp;$D$48)+COUNTIF($E$48:$K$48,"&gt;"&amp;G48)))</f>
        <v>2</v>
      </c>
      <c r="H49" s="14" cm="1">
        <f t="array" ref="H49">_xlfn.IFS(G49=4,1,G49=3,2,G49=2,3,G49=1,4,G48&lt;$D$48,"Too Fast",G48="DQ","DQ")</f>
        <v>3</v>
      </c>
      <c r="I49" s="9">
        <f>IF(I48="DQ",0,IF(I48&lt;$D$48,0,1+COUNTIFS($E$48:$K$48,"DQ")+COUNTIFS($E$48:$K$48,"&lt;"&amp;$D$48)+COUNTIF($E$48:$K$48,"&gt;"&amp;I48)))</f>
        <v>4</v>
      </c>
      <c r="J49" s="14" cm="1">
        <f t="array" ref="J49">_xlfn.IFS(I49=4,1,I49=3,2,I49=2,3,I49=1,4,I48&lt;$D$48,"Too Fast",I48="DQ","DQ")</f>
        <v>1</v>
      </c>
      <c r="K49" s="9">
        <f>IF(K48="DQ",0,IF(K48&lt;$D$48,0,1+COUNTIFS($E$48:$K$48,"DQ")+COUNTIFS($E$48:$K$48,"&lt;"&amp;$D$48)+COUNTIF($E$48:$K$48,"&gt;"&amp;K48)))</f>
        <v>3</v>
      </c>
      <c r="L49" s="14" cm="1">
        <f t="array" ref="L49">_xlfn.IFS(K49=4,1,K49=3,2,K49=2,3,K49=1,4,K48&lt;$D$48,"Too Fast",K48="DQ","DQ")</f>
        <v>2</v>
      </c>
      <c r="Q49" s="22"/>
    </row>
    <row r="50" spans="1:17" x14ac:dyDescent="0.35">
      <c r="A50" s="5">
        <v>22</v>
      </c>
      <c r="B50" s="10" t="s">
        <v>40</v>
      </c>
      <c r="C50" s="2" t="s">
        <v>20</v>
      </c>
      <c r="D50" s="16">
        <v>2.5034722222222223E-4</v>
      </c>
      <c r="E50" s="35">
        <v>4.3842592592592593E-4</v>
      </c>
      <c r="F50" s="35"/>
      <c r="G50" s="35">
        <v>2.9085648148148146E-4</v>
      </c>
      <c r="H50" s="35"/>
      <c r="I50" s="35">
        <v>3.5300925925925924E-4</v>
      </c>
      <c r="J50" s="35"/>
      <c r="K50" s="35">
        <v>3.7928240740740744E-4</v>
      </c>
      <c r="L50" s="35"/>
      <c r="Q50" s="22"/>
    </row>
    <row r="51" spans="1:17" x14ac:dyDescent="0.35">
      <c r="A51" s="7"/>
      <c r="B51" s="8"/>
      <c r="C51" s="4" t="s">
        <v>15</v>
      </c>
      <c r="D51" s="16"/>
      <c r="E51" s="9">
        <f>IF(E50="DQ",0,IF(E50&lt;$D$50,0,1+COUNTIFS($E$50:$K$50,"DQ")+COUNTIFS($E$50:$K$50,"&lt;"&amp;$D$50)+COUNTIF($E$50:$K$50,"&gt;"&amp;E50)))</f>
        <v>1</v>
      </c>
      <c r="F51" s="14" cm="1">
        <f t="array" ref="F51">_xlfn.IFS(E51=4,1,E51=3,2,E51=2,3,E51=1,4,E50&lt;$D$50,"Too Fast",E50="DQ","DQ")</f>
        <v>4</v>
      </c>
      <c r="G51" s="9">
        <f>IF(G50="DQ",0,IF(G50&lt;$D$50,0,1+COUNTIFS($E$50:$K$50,"DQ")+COUNTIFS($E$50:$K$50,"&lt;"&amp;$D$50)+COUNTIF($E$50:$K$50,"&gt;"&amp;G50)))</f>
        <v>4</v>
      </c>
      <c r="H51" s="14" cm="1">
        <f t="array" ref="H51">_xlfn.IFS(G51=4,1,G51=3,2,G51=2,3,G51=1,4,G50&lt;$D$50,"Too Fast",G50="DQ","DQ")</f>
        <v>1</v>
      </c>
      <c r="I51" s="9">
        <f>IF(I50="DQ",0,IF(I50&lt;$D$50,0,1+COUNTIFS($E$50:$K$50,"DQ")+COUNTIFS($E$50:$K$50,"&lt;"&amp;$D$50)+COUNTIF($E$50:$K$50,"&gt;"&amp;I50)))</f>
        <v>3</v>
      </c>
      <c r="J51" s="14" cm="1">
        <f t="array" ref="J51">_xlfn.IFS(I51=4,1,I51=3,2,I51=2,3,I51=1,4,I50&lt;$D$50,"Too Fast",I50="DQ","DQ")</f>
        <v>2</v>
      </c>
      <c r="K51" s="9">
        <f>IF(K50="DQ",0,IF(K50&lt;$D$50,0,1+COUNTIFS($E$50:$K$50,"DQ")+COUNTIFS($E$50:$K$50,"&lt;"&amp;$D$50)+COUNTIF($E$50:$K$50,"&gt;"&amp;K50)))</f>
        <v>2</v>
      </c>
      <c r="L51" s="14" cm="1">
        <f t="array" ref="L51">_xlfn.IFS(K51=4,1,K51=3,2,K51=2,3,K51=1,4,K50&lt;$D$50,"Too Fast",K50="DQ","DQ")</f>
        <v>3</v>
      </c>
      <c r="Q51" s="22"/>
    </row>
    <row r="52" spans="1:17" x14ac:dyDescent="0.35">
      <c r="A52" s="5">
        <v>23</v>
      </c>
      <c r="B52" s="10" t="s">
        <v>41</v>
      </c>
      <c r="C52" s="2" t="s">
        <v>23</v>
      </c>
      <c r="D52" s="16">
        <v>4.6597222222222222E-4</v>
      </c>
      <c r="E52" s="35">
        <v>5.3124999999999993E-4</v>
      </c>
      <c r="F52" s="35"/>
      <c r="G52" s="35">
        <v>5.888888888888889E-4</v>
      </c>
      <c r="H52" s="35"/>
      <c r="I52" s="35">
        <v>5.4687500000000005E-4</v>
      </c>
      <c r="J52" s="35"/>
      <c r="K52" s="35">
        <v>5.5648148148148148E-4</v>
      </c>
      <c r="L52" s="35"/>
      <c r="Q52" s="22"/>
    </row>
    <row r="53" spans="1:17" x14ac:dyDescent="0.35">
      <c r="A53" s="7"/>
      <c r="B53" s="8"/>
      <c r="C53" s="4" t="s">
        <v>15</v>
      </c>
      <c r="D53" s="16"/>
      <c r="E53" s="9">
        <f>IF(E52="DQ",0,IF(E52&lt;$D$52,0,1+COUNTIFS($E$52:$K$52,"DQ")+COUNTIFS($E$52:$K$52,"&lt;"&amp;$D$52)+COUNTIF($E$52:$K$52,"&gt;"&amp;E52)))</f>
        <v>4</v>
      </c>
      <c r="F53" s="14" cm="1">
        <f t="array" ref="F53">_xlfn.IFS(E53=4,1,E53=3,2,E53=2,3,E53=1,4,E52&lt;$D$52,"Too Fast",E52="DQ","DQ")</f>
        <v>1</v>
      </c>
      <c r="G53" s="9">
        <f>IF(G52="DQ",0,IF(G52&lt;$D$52,0,1+COUNTIFS($E$52:$K$52,"DQ")+COUNTIFS($E$52:$K$52,"&lt;"&amp;$D$52)+COUNTIF($E$52:$K$52,"&gt;"&amp;G52)))</f>
        <v>1</v>
      </c>
      <c r="H53" s="14" cm="1">
        <f t="array" ref="H53">_xlfn.IFS(G53=4,1,G53=3,2,G53=2,3,G53=1,4,G52&lt;$D$52,"Too Fast",G52="DQ","DQ")</f>
        <v>4</v>
      </c>
      <c r="I53" s="9">
        <f>IF(I52="DQ",0,IF(I52&lt;$D$52,0,1+COUNTIFS($E$52:$K$52,"DQ")+COUNTIFS($E$52:$K$52,"&lt;"&amp;$D$52)+COUNTIF($E$52:$K$52,"&gt;"&amp;I52)))</f>
        <v>3</v>
      </c>
      <c r="J53" s="14" cm="1">
        <f t="array" ref="J53">_xlfn.IFS(I53=4,1,I53=3,2,I53=2,3,I53=1,4,I52&lt;$D$52,"Too Fast",I52="DQ","DQ")</f>
        <v>2</v>
      </c>
      <c r="K53" s="9">
        <f>IF(K52="DQ",0,IF(K52&lt;$D$52,0,1+COUNTIFS($E$52:$K$52,"DQ")+COUNTIFS($E$52:$K$52,"&lt;"&amp;$D$52)+COUNTIF($E$52:$K$52,"&gt;"&amp;K52)))</f>
        <v>2</v>
      </c>
      <c r="L53" s="14" cm="1">
        <f t="array" ref="L53">_xlfn.IFS(K53=4,1,K53=3,2,K53=2,3,K53=1,4,K52&lt;$D$52,"Too Fast",K52="DQ","DQ")</f>
        <v>3</v>
      </c>
      <c r="Q53" s="22"/>
    </row>
    <row r="54" spans="1:17" x14ac:dyDescent="0.35">
      <c r="A54" s="5">
        <v>24</v>
      </c>
      <c r="B54" s="10" t="s">
        <v>42</v>
      </c>
      <c r="C54" s="2" t="s">
        <v>23</v>
      </c>
      <c r="D54" s="16">
        <v>4.6747685185185184E-4</v>
      </c>
      <c r="E54" s="35">
        <v>5.415509259259259E-4</v>
      </c>
      <c r="F54" s="35"/>
      <c r="G54" s="35">
        <v>5.3495370370370372E-4</v>
      </c>
      <c r="H54" s="35"/>
      <c r="I54" s="35">
        <v>5.4513888888888895E-4</v>
      </c>
      <c r="J54" s="35"/>
      <c r="K54" s="35">
        <v>5.2129629629629629E-4</v>
      </c>
      <c r="L54" s="35"/>
      <c r="Q54" s="22"/>
    </row>
    <row r="55" spans="1:17" x14ac:dyDescent="0.35">
      <c r="A55" s="7"/>
      <c r="B55" s="8"/>
      <c r="C55" s="4" t="s">
        <v>15</v>
      </c>
      <c r="D55" s="16"/>
      <c r="E55" s="9">
        <f>IF(E54="DQ",0,IF(E54&lt;$D$54,0,1+COUNTIFS($E$54:$K$54,"DQ")+COUNTIFS($E$54:$K$54,"&lt;"&amp;$D$54)+COUNTIF($E$54:$K$54,"&gt;"&amp;E54)))</f>
        <v>2</v>
      </c>
      <c r="F55" s="14" cm="1">
        <f t="array" ref="F55">_xlfn.IFS(E55=4,1,E55=3,2,E55=2,3,E55=1,4,E54&lt;$D$54,"Too Fast",E54="DQ","DQ")</f>
        <v>3</v>
      </c>
      <c r="G55" s="9">
        <f>IF(G54="DQ",0,IF(G54&lt;$D$54,0,1+COUNTIFS($E$54:$K$54,"DQ")+COUNTIFS($E$54:$K$54,"&lt;"&amp;$D$54)+COUNTIF($E$54:$K$54,"&gt;"&amp;G54)))</f>
        <v>3</v>
      </c>
      <c r="H55" s="14" cm="1">
        <f t="array" ref="H55">_xlfn.IFS(G55=4,1,G55=3,2,G55=2,3,G55=1,4,G54&lt;$D$54,"Too Fast",G54="DQ","DQ")</f>
        <v>2</v>
      </c>
      <c r="I55" s="9">
        <f>IF(I54="DQ",0,IF(I54&lt;$D$54,0,1+COUNTIFS($E$54:$K$54,"DQ")+COUNTIFS($E$54:$K$54,"&lt;"&amp;$D$54)+COUNTIF($E$54:$K$54,"&gt;"&amp;I54)))</f>
        <v>1</v>
      </c>
      <c r="J55" s="14" cm="1">
        <f t="array" ref="J55">_xlfn.IFS(I55=4,1,I55=3,2,I55=2,3,I55=1,4,I54&lt;$D$54,"Too Fast",I54="DQ","DQ")</f>
        <v>4</v>
      </c>
      <c r="K55" s="9">
        <f>IF(K54="DQ",0,IF(K54&lt;$D$54,0,1+COUNTIFS($E$54:$K$54,"DQ")+COUNTIFS($E$54:$K$54,"&lt;"&amp;$D$54)+COUNTIF($E$54:$K$54,"&gt;"&amp;K54)))</f>
        <v>4</v>
      </c>
      <c r="L55" s="14" cm="1">
        <f t="array" ref="L55">_xlfn.IFS(K55=4,1,K55=3,2,K55=2,3,K55=1,4,K54&lt;$D$54,"Too Fast",K54="DQ","DQ")</f>
        <v>1</v>
      </c>
      <c r="Q55" s="22"/>
    </row>
    <row r="56" spans="1:17" x14ac:dyDescent="0.35">
      <c r="A56" s="5">
        <v>25</v>
      </c>
      <c r="B56" s="10" t="s">
        <v>43</v>
      </c>
      <c r="C56" s="2" t="s">
        <v>44</v>
      </c>
      <c r="D56" s="16">
        <v>2.0304398148148148E-3</v>
      </c>
      <c r="E56" s="35">
        <v>2.2605324074074073E-3</v>
      </c>
      <c r="F56" s="35"/>
      <c r="G56" s="35" t="s">
        <v>85</v>
      </c>
      <c r="H56" s="35"/>
      <c r="I56" s="35">
        <v>2.2931712962962962E-3</v>
      </c>
      <c r="J56" s="35"/>
      <c r="K56" s="35">
        <v>2.6208333333333335E-3</v>
      </c>
      <c r="L56" s="35"/>
      <c r="Q56" s="22"/>
    </row>
    <row r="57" spans="1:17" x14ac:dyDescent="0.35">
      <c r="A57" s="7"/>
      <c r="B57" s="8"/>
      <c r="C57" s="4" t="s">
        <v>15</v>
      </c>
      <c r="D57" s="16"/>
      <c r="E57" s="9">
        <f>IF(E56="DQ",0,IF(E56&lt;$D$56,0,1+COUNTIFS($E$56:$K$56,"DQ")+COUNTIFS($E$56:$K$56,"&lt;"&amp;$D$56)+COUNTIF($E$56:$K$56,"&gt;"&amp;E56)))</f>
        <v>4</v>
      </c>
      <c r="F57" s="14" cm="1">
        <f t="array" ref="F57">_xlfn.IFS(E57=4,1,E57=3,2,E57=2,3,E57=1,4,E56&lt;$D$56,"Too Fast",E56="DQ","DQ")</f>
        <v>1</v>
      </c>
      <c r="G57" s="9">
        <f>IF(G56="DQ",0,IF(G56&lt;$D$56,0,1+COUNTIFS($E$56:$K$56,"DQ")+COUNTIFS($E$56:$K$56,"&lt;"&amp;$D$56)+COUNTIF($E$56:$K$56,"&gt;"&amp;G56)))</f>
        <v>0</v>
      </c>
      <c r="H57" s="14" t="str" cm="1">
        <f t="array" ref="H57">_xlfn.IFS(G57=4,1,G57=3,2,G57=2,3,G57=1,4,G56&lt;$D$56,"Too Fast",G56="DQ","DQ")</f>
        <v>DQ</v>
      </c>
      <c r="I57" s="9">
        <f>IF(I56="DQ",0,IF(I56&lt;$D$56,0,1+COUNTIFS($E$56:$K$56,"DQ")+COUNTIFS($E$56:$K$56,"&lt;"&amp;$D$56)+COUNTIF($E$56:$K$56,"&gt;"&amp;I56)))</f>
        <v>3</v>
      </c>
      <c r="J57" s="14" cm="1">
        <f t="array" ref="J57">_xlfn.IFS(I57=4,1,I57=3,2,I57=2,3,I57=1,4,I56&lt;$D$56,"Too Fast",I56="DQ","DQ")</f>
        <v>2</v>
      </c>
      <c r="K57" s="9">
        <f>IF(K56="DQ",0,IF(K56&lt;$D$56,0,1+COUNTIFS($E$56:$K$56,"DQ")+COUNTIFS($E$56:$K$56,"&lt;"&amp;$D$56)+COUNTIF($E$56:$K$56,"&gt;"&amp;K56)))</f>
        <v>2</v>
      </c>
      <c r="L57" s="14" cm="1">
        <f t="array" ref="L57">_xlfn.IFS(K57=4,1,K57=3,2,K57=2,3,K57=1,4,K56&lt;$D$56,"Too Fast",K56="DQ","DQ")</f>
        <v>3</v>
      </c>
      <c r="Q57" s="22"/>
    </row>
    <row r="58" spans="1:17" x14ac:dyDescent="0.35">
      <c r="A58" s="5">
        <v>26</v>
      </c>
      <c r="B58" s="10" t="s">
        <v>45</v>
      </c>
      <c r="C58" s="2" t="s">
        <v>44</v>
      </c>
      <c r="D58" s="16">
        <v>1.8730324074074072E-3</v>
      </c>
      <c r="E58" s="35">
        <v>2.3356481481481483E-3</v>
      </c>
      <c r="F58" s="35"/>
      <c r="G58" s="35">
        <v>2.3512731481481483E-3</v>
      </c>
      <c r="H58" s="35"/>
      <c r="I58" s="35" t="s">
        <v>85</v>
      </c>
      <c r="J58" s="35"/>
      <c r="K58" s="35">
        <v>2.1721064814814815E-3</v>
      </c>
      <c r="L58" s="35"/>
      <c r="Q58" s="22"/>
    </row>
    <row r="59" spans="1:17" x14ac:dyDescent="0.35">
      <c r="A59" s="7"/>
      <c r="B59" s="8"/>
      <c r="C59" s="4" t="s">
        <v>15</v>
      </c>
      <c r="D59" s="16"/>
      <c r="E59" s="9">
        <f>IF(E58="DQ",0,IF(E58&lt;$D$58,0,1+COUNTIFS($E$58:$K$58,"DQ")+COUNTIFS($E$58:$K$58,"&lt;"&amp;$D$58)+COUNTIF($E$58:$K$58,"&gt;"&amp;E58)))</f>
        <v>3</v>
      </c>
      <c r="F59" s="14" cm="1">
        <f t="array" ref="F59">_xlfn.IFS(E59=4,1,E59=3,2,E59=2,3,E59=1,4,E58&lt;$D$58,"Too Fast",E58="DQ","DQ")</f>
        <v>2</v>
      </c>
      <c r="G59" s="9">
        <f>IF(G58="DQ",0,IF(G58&lt;$D$58,0,1+COUNTIFS($E$58:$K$58,"DQ")+COUNTIFS($E$58:$K$58,"&lt;"&amp;$D$58)+COUNTIF($E$58:$K$58,"&gt;"&amp;G58)))</f>
        <v>2</v>
      </c>
      <c r="H59" s="14" cm="1">
        <f t="array" ref="H59">_xlfn.IFS(G59=4,1,G59=3,2,G59=2,3,G59=1,4,G58&lt;$D$58,"Too Fast",G58="DQ","DQ")</f>
        <v>3</v>
      </c>
      <c r="I59" s="9">
        <f>IF(I58="DQ",0,IF(I58&lt;$D$58,0,1+COUNTIFS($E$58:$K$58,"DQ")+COUNTIFS($E$58:$K$58,"&lt;"&amp;$D$58)+COUNTIF($E$58:$K$58,"&gt;"&amp;I58)))</f>
        <v>0</v>
      </c>
      <c r="J59" s="14" t="str" cm="1">
        <f t="array" ref="J59">_xlfn.IFS(I59=4,1,I59=3,2,I59=2,3,I59=1,4,I58&lt;$D$58,"Too Fast",I58="DQ","DQ")</f>
        <v>DQ</v>
      </c>
      <c r="K59" s="9">
        <f>IF(K58="DQ",0,IF(K58&lt;$D$58,0,1+COUNTIFS($E$58:$K$58,"DQ")+COUNTIFS($E$58:$K$58,"&lt;"&amp;$D$58)+COUNTIF($E$58:$K$58,"&gt;"&amp;K58)))</f>
        <v>4</v>
      </c>
      <c r="L59" s="14" cm="1">
        <f t="array" ref="L59">_xlfn.IFS(K59=4,1,K59=3,2,K59=2,3,K59=1,4,K58&lt;$D$58,"Too Fast",K58="DQ","DQ")</f>
        <v>1</v>
      </c>
      <c r="Q59" s="22"/>
    </row>
    <row r="60" spans="1:17" x14ac:dyDescent="0.35">
      <c r="A60" s="5">
        <v>27</v>
      </c>
      <c r="B60" s="10" t="s">
        <v>46</v>
      </c>
      <c r="C60" s="2" t="s">
        <v>44</v>
      </c>
      <c r="D60" s="16">
        <v>2.0024305555555555E-3</v>
      </c>
      <c r="E60" s="35">
        <v>2.2752314814814814E-3</v>
      </c>
      <c r="F60" s="35"/>
      <c r="G60" s="35">
        <v>2.324189814814815E-3</v>
      </c>
      <c r="H60" s="35"/>
      <c r="I60" s="35">
        <v>2.2030092592592592E-3</v>
      </c>
      <c r="J60" s="35"/>
      <c r="K60" s="35">
        <v>2.4541666666666666E-3</v>
      </c>
      <c r="L60" s="35"/>
      <c r="Q60" s="22"/>
    </row>
    <row r="61" spans="1:17" x14ac:dyDescent="0.35">
      <c r="A61" s="7"/>
      <c r="B61" s="8"/>
      <c r="C61" s="4" t="s">
        <v>15</v>
      </c>
      <c r="D61" s="16"/>
      <c r="E61" s="9">
        <f>IF(E60="DQ",0,IF(E60&lt;$D$60,0,1+COUNTIFS($E$60:$K$60,"DQ")+COUNTIFS($E$60:$K$60,"&lt;"&amp;$D$60)+COUNTIF($E$60:$K$60,"&gt;"&amp;E60)))</f>
        <v>3</v>
      </c>
      <c r="F61" s="14" cm="1">
        <f t="array" ref="F61">_xlfn.IFS(E61=4,1,E61=3,2,E61=2,3,E61=1,4,E60&lt;$D$60,"Too Fast",E60="DQ","DQ")</f>
        <v>2</v>
      </c>
      <c r="G61" s="9">
        <f>IF(G60="DQ",0,IF(G60&lt;$D$60,0,1+COUNTIFS($E$60:$K$60,"DQ")+COUNTIFS($E$60:$K$60,"&lt;"&amp;$D$60)+COUNTIF($E$60:$K$60,"&gt;"&amp;G60)))</f>
        <v>2</v>
      </c>
      <c r="H61" s="14" cm="1">
        <f t="array" ref="H61">_xlfn.IFS(G61=4,1,G61=3,2,G61=2,3,G61=1,4,G60&lt;$D$60,"Too Fast",G60="DQ","DQ")</f>
        <v>3</v>
      </c>
      <c r="I61" s="9">
        <f>IF(I60="DQ",0,IF(I60&lt;$D$60,0,1+COUNTIFS($E$60:$K$60,"DQ")+COUNTIFS($E$60:$K$60,"&lt;"&amp;$D$60)+COUNTIF($E$60:$K$60,"&gt;"&amp;I60)))</f>
        <v>4</v>
      </c>
      <c r="J61" s="14" cm="1">
        <f t="array" ref="J61">_xlfn.IFS(I61=4,1,I61=3,2,I61=2,3,I61=1,4,I60&lt;$D$60,"Too Fast",I60="DQ","DQ")</f>
        <v>1</v>
      </c>
      <c r="K61" s="9">
        <f>IF(K60="DQ",0,IF(K60&lt;$D$60,0,1+COUNTIFS($E$60:$K$60,"DQ")+COUNTIFS($E$60:$K$60,"&lt;"&amp;$D$60)+COUNTIF($E$60:$K$60,"&gt;"&amp;K60)))</f>
        <v>1</v>
      </c>
      <c r="L61" s="14" cm="1">
        <f t="array" ref="L61">_xlfn.IFS(K61=4,1,K61=3,2,K61=2,3,K61=1,4,K60&lt;$D$60,"Too Fast",K60="DQ","DQ")</f>
        <v>4</v>
      </c>
      <c r="Q61" s="22"/>
    </row>
    <row r="62" spans="1:17" x14ac:dyDescent="0.35">
      <c r="A62" s="5">
        <v>28</v>
      </c>
      <c r="B62" s="10" t="s">
        <v>47</v>
      </c>
      <c r="C62" s="2" t="s">
        <v>44</v>
      </c>
      <c r="D62" s="16">
        <v>1.8247685185185185E-3</v>
      </c>
      <c r="E62" s="35">
        <v>2.3569444444444445E-3</v>
      </c>
      <c r="F62" s="35"/>
      <c r="G62" s="35">
        <v>2.1248842592592591E-3</v>
      </c>
      <c r="H62" s="35"/>
      <c r="I62" s="35">
        <v>2.0373842592592592E-3</v>
      </c>
      <c r="J62" s="35"/>
      <c r="K62" s="35">
        <v>2.1149305555555552E-3</v>
      </c>
      <c r="L62" s="35"/>
      <c r="Q62" s="22"/>
    </row>
    <row r="63" spans="1:17" x14ac:dyDescent="0.35">
      <c r="A63" s="7"/>
      <c r="B63" s="8"/>
      <c r="C63" s="4" t="s">
        <v>15</v>
      </c>
      <c r="D63" s="16"/>
      <c r="E63" s="9">
        <f>IF(E62="DQ",0,IF(E62&lt;$D$62,0,1+COUNTIFS($E$62:$K$62,"DQ")+COUNTIFS($E$62:$K$62,"&lt;"&amp;$D$62)+COUNTIF($E$62:$K$62,"&gt;"&amp;E62)))</f>
        <v>1</v>
      </c>
      <c r="F63" s="14" cm="1">
        <f t="array" ref="F63">_xlfn.IFS(E63=4,1,E63=3,2,E63=2,3,E63=1,4,E62&lt;$D$62,"Too Fast",E62="DQ","DQ")</f>
        <v>4</v>
      </c>
      <c r="G63" s="9">
        <f>IF(G62="DQ",0,IF(G62&lt;$D$62,0,1+COUNTIFS($E$62:$K$62,"DQ")+COUNTIFS($E$62:$K$62,"&lt;"&amp;$D$62)+COUNTIF($E$62:$K$62,"&gt;"&amp;G62)))</f>
        <v>2</v>
      </c>
      <c r="H63" s="14" cm="1">
        <f t="array" ref="H63">_xlfn.IFS(G63=4,1,G63=3,2,G63=2,3,G63=1,4,G62&lt;$D$62,"Too Fast",G62="DQ","DQ")</f>
        <v>3</v>
      </c>
      <c r="I63" s="9">
        <f>IF(I62="DQ",0,IF(I62&lt;$D$62,0,1+COUNTIFS($E$62:$K$62,"DQ")+COUNTIFS($E$62:$K$62,"&lt;"&amp;$D$62)+COUNTIF($E$62:$K$62,"&gt;"&amp;I62)))</f>
        <v>4</v>
      </c>
      <c r="J63" s="14" cm="1">
        <f t="array" ref="J63">_xlfn.IFS(I63=4,1,I63=3,2,I63=2,3,I63=1,4,I62&lt;$D$62,"Too Fast",I62="DQ","DQ")</f>
        <v>1</v>
      </c>
      <c r="K63" s="9">
        <f>IF(K62="DQ",0,IF(K62&lt;$D$62,0,1+COUNTIFS($E$62:$K$62,"DQ")+COUNTIFS($E$62:$K$62,"&lt;"&amp;$D$62)+COUNTIF($E$62:$K$62,"&gt;"&amp;K62)))</f>
        <v>3</v>
      </c>
      <c r="L63" s="14" cm="1">
        <f t="array" ref="L63">_xlfn.IFS(K63=4,1,K63=3,2,K63=2,3,K63=1,4,K62&lt;$D$62,"Too Fast",K62="DQ","DQ")</f>
        <v>2</v>
      </c>
      <c r="Q63" s="22"/>
    </row>
    <row r="64" spans="1:17" x14ac:dyDescent="0.35">
      <c r="A64" s="5">
        <v>29</v>
      </c>
      <c r="B64" s="10" t="s">
        <v>48</v>
      </c>
      <c r="C64" s="2" t="s">
        <v>20</v>
      </c>
      <c r="D64" s="16">
        <v>2.7685185185185186E-4</v>
      </c>
      <c r="E64" s="35">
        <v>3.7106481481481485E-4</v>
      </c>
      <c r="F64" s="35"/>
      <c r="G64" s="35">
        <v>3.7627314814814815E-4</v>
      </c>
      <c r="H64" s="35"/>
      <c r="I64" s="35">
        <v>3.2627314814814818E-4</v>
      </c>
      <c r="J64" s="35"/>
      <c r="K64" s="35">
        <v>3.6898148148148147E-4</v>
      </c>
      <c r="L64" s="35"/>
      <c r="Q64" s="22"/>
    </row>
    <row r="65" spans="1:17" x14ac:dyDescent="0.35">
      <c r="A65" s="7"/>
      <c r="B65" s="8"/>
      <c r="C65" s="4" t="s">
        <v>15</v>
      </c>
      <c r="D65" s="16"/>
      <c r="E65" s="9">
        <f>IF(E64="DQ",0,IF(E64&lt;$D$64,0,1+COUNTIFS($E$64:$K$64,"DQ")+COUNTIFS($E$64:$K$64,"&lt;"&amp;$D$64)+COUNTIF($E$64:$K$64,"&gt;"&amp;E64)))</f>
        <v>2</v>
      </c>
      <c r="F65" s="14" cm="1">
        <f t="array" ref="F65">_xlfn.IFS(E65=4,1,E65=3,2,E65=2,3,E65=1,4,E64&lt;$D$64,"Too Fast",E64="DQ","DQ")</f>
        <v>3</v>
      </c>
      <c r="G65" s="9">
        <f>IF(G64="DQ",0,IF(G64&lt;$D$64,0,1+COUNTIFS($E$64:$K$64,"DQ")+COUNTIFS($E$64:$K$64,"&lt;"&amp;$D$64)+COUNTIF($E$64:$K$64,"&gt;"&amp;G64)))</f>
        <v>1</v>
      </c>
      <c r="H65" s="14" cm="1">
        <f t="array" ref="H65">_xlfn.IFS(G65=4,1,G65=3,2,G65=2,3,G65=1,4,G64&lt;$D$64,"Too Fast",G64="DQ","DQ")</f>
        <v>4</v>
      </c>
      <c r="I65" s="9">
        <f>IF(I64="DQ",0,IF(I64&lt;$D$64,0,1+COUNTIFS($E$64:$K$64,"DQ")+COUNTIFS($E$64:$K$64,"&lt;"&amp;$D$64)+COUNTIF($E$64:$K$64,"&gt;"&amp;I64)))</f>
        <v>4</v>
      </c>
      <c r="J65" s="14" cm="1">
        <f t="array" ref="J65">_xlfn.IFS(I65=4,1,I65=3,2,I65=2,3,I65=1,4,I64&lt;$D$64,"Too Fast",I64="DQ","DQ")</f>
        <v>1</v>
      </c>
      <c r="K65" s="9">
        <f>IF(K64="DQ",0,IF(K64&lt;$D$64,0,1+COUNTIFS($E$64:$K$64,"DQ")+COUNTIFS($E$64:$K$64,"&lt;"&amp;$D$64)+COUNTIF($E$64:$K$64,"&gt;"&amp;K64)))</f>
        <v>3</v>
      </c>
      <c r="L65" s="14" cm="1">
        <f t="array" ref="L65">_xlfn.IFS(K65=4,1,K65=3,2,K65=2,3,K65=1,4,K64&lt;$D$64,"Too Fast",K64="DQ","DQ")</f>
        <v>2</v>
      </c>
      <c r="Q65" s="22"/>
    </row>
    <row r="66" spans="1:17" x14ac:dyDescent="0.35">
      <c r="A66" s="5">
        <v>30</v>
      </c>
      <c r="B66" s="10" t="s">
        <v>49</v>
      </c>
      <c r="C66" s="2" t="s">
        <v>20</v>
      </c>
      <c r="D66" s="16">
        <v>2.7835648148148148E-4</v>
      </c>
      <c r="E66" s="35">
        <v>4.3784722222222223E-4</v>
      </c>
      <c r="F66" s="35"/>
      <c r="G66" s="35">
        <v>3.2986111111111112E-4</v>
      </c>
      <c r="H66" s="35"/>
      <c r="I66" s="35">
        <v>3.5300925925925924E-4</v>
      </c>
      <c r="J66" s="35"/>
      <c r="K66" s="35">
        <v>3.0775462962962961E-4</v>
      </c>
      <c r="L66" s="35"/>
      <c r="Q66" s="22"/>
    </row>
    <row r="67" spans="1:17" x14ac:dyDescent="0.35">
      <c r="A67" s="7"/>
      <c r="B67" s="8"/>
      <c r="C67" s="4" t="s">
        <v>15</v>
      </c>
      <c r="D67" s="16"/>
      <c r="E67" s="9">
        <f>IF(E66="DQ",0,IF(E66&lt;$D$66,0,1+COUNTIFS($E$66:$K$66,"DQ")+COUNTIFS($E$66:$K$66,"&lt;"&amp;$D$66)+COUNTIF($E$66:$K$66,"&gt;"&amp;E66)))</f>
        <v>1</v>
      </c>
      <c r="F67" s="14" cm="1">
        <f t="array" ref="F67">_xlfn.IFS(E67=4,1,E67=3,2,E67=2,3,E67=1,4,E66&lt;$D$66,"Too Fast",E66="DQ","DQ")</f>
        <v>4</v>
      </c>
      <c r="G67" s="9">
        <f>IF(G66="DQ",0,IF(G66&lt;$D$66,0,1+COUNTIFS($E$66:$K$66,"DQ")+COUNTIFS($E$66:$K$66,"&lt;"&amp;$D$66)+COUNTIF($E$66:$K$66,"&gt;"&amp;G66)))</f>
        <v>3</v>
      </c>
      <c r="H67" s="14" cm="1">
        <f t="array" ref="H67">_xlfn.IFS(G67=4,1,G67=3,2,G67=2,3,G67=1,4,G66&lt;$D$66,"Too Fast",G66="DQ","DQ")</f>
        <v>2</v>
      </c>
      <c r="I67" s="9">
        <f>IF(I66="DQ",0,IF(I66&lt;$D$66,0,1+COUNTIFS($E$66:$K$66,"DQ")+COUNTIFS($E$66:$K$66,"&lt;"&amp;$D$66)+COUNTIF($E$66:$K$66,"&gt;"&amp;I66)))</f>
        <v>2</v>
      </c>
      <c r="J67" s="14" cm="1">
        <f t="array" ref="J67">_xlfn.IFS(I67=4,1,I67=3,2,I67=2,3,I67=1,4,I66&lt;$D$66,"Too Fast",I66="DQ","DQ")</f>
        <v>3</v>
      </c>
      <c r="K67" s="9">
        <f>IF(K66="DQ",0,IF(K66&lt;$D$66,0,1+COUNTIFS($E$66:$K$66,"DQ")+COUNTIFS($E$66:$K$66,"&lt;"&amp;$D$66)+COUNTIF($E$66:$K$66,"&gt;"&amp;K66)))</f>
        <v>4</v>
      </c>
      <c r="L67" s="14" cm="1">
        <f t="array" ref="L67">_xlfn.IFS(K67=4,1,K67=3,2,K67=2,3,K67=1,4,K66&lt;$D$66,"Too Fast",K66="DQ","DQ")</f>
        <v>1</v>
      </c>
      <c r="Q67" s="22"/>
    </row>
    <row r="68" spans="1:17" x14ac:dyDescent="0.35">
      <c r="A68" s="2"/>
      <c r="B68" s="12" t="s">
        <v>50</v>
      </c>
      <c r="C68" s="3"/>
      <c r="D68" s="16"/>
      <c r="E68" s="19">
        <f>E47+E49+E51+E53+E55+E57+E59+E61+E63+E65+E67</f>
        <v>64</v>
      </c>
      <c r="F68" s="19"/>
      <c r="G68" s="19">
        <f t="shared" ref="G68:K68" si="32">G47+G49+G51+G53+G55+G57+G59+G61+G63+G65+G67</f>
        <v>66</v>
      </c>
      <c r="H68" s="19"/>
      <c r="I68" s="19">
        <f t="shared" si="32"/>
        <v>89</v>
      </c>
      <c r="J68" s="19"/>
      <c r="K68" s="19">
        <f t="shared" si="32"/>
        <v>73</v>
      </c>
      <c r="L68" s="18"/>
      <c r="Q68" s="22"/>
    </row>
    <row r="69" spans="1:17" x14ac:dyDescent="0.35">
      <c r="A69" s="5">
        <v>31</v>
      </c>
      <c r="B69" s="10" t="s">
        <v>51</v>
      </c>
      <c r="C69" s="2" t="s">
        <v>23</v>
      </c>
      <c r="D69" s="16">
        <v>5.3472222222222224E-4</v>
      </c>
      <c r="E69" s="36">
        <v>6.2164351851851855E-4</v>
      </c>
      <c r="F69" s="37"/>
      <c r="G69" s="36" t="s">
        <v>85</v>
      </c>
      <c r="H69" s="37"/>
      <c r="I69" s="36">
        <v>6.2280092592592595E-4</v>
      </c>
      <c r="J69" s="37"/>
      <c r="K69" s="36">
        <v>6.4687499999999999E-4</v>
      </c>
      <c r="L69" s="37"/>
      <c r="Q69" s="22"/>
    </row>
    <row r="70" spans="1:17" x14ac:dyDescent="0.35">
      <c r="A70" s="7"/>
      <c r="B70" s="8"/>
      <c r="C70" s="4" t="s">
        <v>15</v>
      </c>
      <c r="D70" s="16"/>
      <c r="E70" s="9">
        <f>IF(E69="DQ",0,IF(E69&lt;$D$69,0,1+COUNTIFS($E$69:$K$69,"DQ")+COUNTIFS($E$69:$K$69,"&lt;"&amp;$D$69)+COUNTIF($E$69:$K$69,"&gt;"&amp;E69)))</f>
        <v>4</v>
      </c>
      <c r="F70" s="14" cm="1">
        <f t="array" ref="F70">_xlfn.IFS(E70=4,1,E70=3,2,E70=2,3,E70=1,4,E69&lt;$D$69,"Too Fast",E69="DQ","DQ")</f>
        <v>1</v>
      </c>
      <c r="G70" s="9">
        <f>IF(G69="DQ",0,IF(G69&lt;$D$69,0,1+COUNTIFS($E$69:$K$69,"DQ")+COUNTIFS($E$69:$K$69,"&lt;"&amp;$D$69)+COUNTIF($E$69:$K$69,"&gt;"&amp;G69)))</f>
        <v>0</v>
      </c>
      <c r="H70" s="14" t="str" cm="1">
        <f t="array" ref="H70">_xlfn.IFS(G70=4,1,G70=3,2,G70=2,3,G70=1,4,G69&lt;$D$69,"Too Fast",G69="DQ","DQ")</f>
        <v>DQ</v>
      </c>
      <c r="I70" s="9">
        <f>IF(I69="DQ",0,IF(I69&lt;$D$69,0,1+COUNTIFS($E$69:$K$69,"DQ")+COUNTIFS($E$69:$K$69,"&lt;"&amp;$D$69)+COUNTIF($E$69:$K$69,"&gt;"&amp;I69)))</f>
        <v>3</v>
      </c>
      <c r="J70" s="14" cm="1">
        <f t="array" ref="J70">_xlfn.IFS(I70=4,1,I70=3,2,I70=2,3,I70=1,4,I69&lt;$D$69,"Too Fast",I69="DQ","DQ")</f>
        <v>2</v>
      </c>
      <c r="K70" s="9">
        <f>IF(K69="DQ",0,IF(K69&lt;$D$69,0,1+COUNTIFS($E$69:$K$69,"DQ")+COUNTIFS($E$69:$K$69,"&lt;"&amp;$D$69)+COUNTIF($E$69:$K$69,"&gt;"&amp;K69)))</f>
        <v>2</v>
      </c>
      <c r="L70" s="14" cm="1">
        <f t="array" ref="L70">_xlfn.IFS(K70=4,1,K70=3,2,K70=2,3,K70=1,4,K69&lt;$D$69,"Too Fast",K69="DQ","DQ")</f>
        <v>3</v>
      </c>
    </row>
    <row r="71" spans="1:17" x14ac:dyDescent="0.35">
      <c r="A71" s="5">
        <v>32</v>
      </c>
      <c r="B71" s="10" t="s">
        <v>52</v>
      </c>
      <c r="C71" s="2" t="s">
        <v>23</v>
      </c>
      <c r="D71" s="16">
        <v>5.4236111111111108E-4</v>
      </c>
      <c r="E71" s="36">
        <v>6.6273148148148148E-4</v>
      </c>
      <c r="F71" s="37"/>
      <c r="G71" s="36">
        <v>6.7094907407407403E-4</v>
      </c>
      <c r="H71" s="37"/>
      <c r="I71" s="36" t="s">
        <v>85</v>
      </c>
      <c r="J71" s="37"/>
      <c r="K71" s="36">
        <v>5.247685185185186E-4</v>
      </c>
      <c r="L71" s="37"/>
    </row>
    <row r="72" spans="1:17" x14ac:dyDescent="0.35">
      <c r="A72" s="7"/>
      <c r="B72" s="8"/>
      <c r="C72" s="4" t="s">
        <v>15</v>
      </c>
      <c r="D72" s="16"/>
      <c r="E72" s="9">
        <f>IF(E71="DQ",0,IF(E71&lt;$D$71,0,1+COUNTIFS($E$71:$K$71,"DQ")+COUNTIFS($E$71:$K$71,"&lt;"&amp;$D$71)+COUNTIF($E$71:$K$71,"&gt;"&amp;E71)))</f>
        <v>4</v>
      </c>
      <c r="F72" s="14" cm="1">
        <f t="array" ref="F72">_xlfn.IFS(E72=4,1,E72=3,2,E72=2,3,E72=1,4,E71&lt;$D$71,"Too Fast",E71="DQ","DQ")</f>
        <v>1</v>
      </c>
      <c r="G72" s="9">
        <f>IF(G71="DQ",0,IF(G71&lt;$D$71,0,1+COUNTIFS($E$71:$K$71,"DQ")+COUNTIFS($E$71:$K$71,"&lt;"&amp;$D$71)+COUNTIF($E$71:$K$71,"&gt;"&amp;G71)))</f>
        <v>3</v>
      </c>
      <c r="H72" s="14" cm="1">
        <f t="array" ref="H72">_xlfn.IFS(G72=4,1,G72=3,2,G72=2,3,G72=1,4,G71&lt;$D$71,"Too Fast",G71="DQ","DQ")</f>
        <v>2</v>
      </c>
      <c r="I72" s="9">
        <f>IF(I71="DQ",0,IF(I71&lt;$D$71,0,1+COUNTIFS($E$71:$K$71,"DQ")+COUNTIFS($E$71:$K$71,"&lt;"&amp;$D$71)+COUNTIF($E$71:$K$71,"&gt;"&amp;I71)))</f>
        <v>0</v>
      </c>
      <c r="J72" s="14" t="str" cm="1">
        <f t="array" ref="J72">_xlfn.IFS(I72=4,1,I72=3,2,I72=2,3,I72=1,4,I71&lt;$D$71,"Too Fast",I71="DQ","DQ")</f>
        <v>DQ</v>
      </c>
      <c r="K72" s="9">
        <f>IF(K71="DQ",0,IF(K71&lt;$D$71,0,1+COUNTIFS($E$71:$K$71,"DQ")+COUNTIFS($E$71:$K$71,"&lt;"&amp;$D$71)+COUNTIF($E$71:$K$71,"&gt;"&amp;K71)))</f>
        <v>0</v>
      </c>
      <c r="L72" s="14" t="str" cm="1">
        <f t="array" ref="L72">_xlfn.IFS(K72=4,1,K72=3,2,K72=2,3,K72=1,4,K71&lt;$D$71,"Too Fast",K71="DQ","DQ")</f>
        <v>Too Fast</v>
      </c>
    </row>
    <row r="73" spans="1:17" x14ac:dyDescent="0.35">
      <c r="A73" s="5">
        <v>33</v>
      </c>
      <c r="B73" s="10" t="s">
        <v>53</v>
      </c>
      <c r="C73" s="2" t="s">
        <v>23</v>
      </c>
      <c r="D73" s="16">
        <v>4.4768518518518519E-4</v>
      </c>
      <c r="E73" s="36">
        <v>4.9386574074074079E-4</v>
      </c>
      <c r="F73" s="37"/>
      <c r="G73" s="36">
        <v>5.175925925925926E-4</v>
      </c>
      <c r="H73" s="37"/>
      <c r="I73" s="36">
        <v>5.2048611111111111E-4</v>
      </c>
      <c r="J73" s="37"/>
      <c r="K73" s="36">
        <v>5.655092592592592E-4</v>
      </c>
      <c r="L73" s="37"/>
    </row>
    <row r="74" spans="1:17" x14ac:dyDescent="0.35">
      <c r="A74" s="7"/>
      <c r="B74" s="8"/>
      <c r="C74" s="4" t="s">
        <v>15</v>
      </c>
      <c r="D74" s="16"/>
      <c r="E74" s="9">
        <f>IF(E73="DQ",0,IF(E73&lt;$D$73,0,1+COUNTIFS($E$73:$K$73,"DQ")+COUNTIFS($E$73:$K$73,"&lt;"&amp;$D$73)+COUNTIF($E$73:$K$73,"&gt;"&amp;E73)))</f>
        <v>4</v>
      </c>
      <c r="F74" s="14" cm="1">
        <f t="array" ref="F74">_xlfn.IFS(E74=4,1,E74=3,2,E74=2,3,E74=1,4,E73&lt;$D$73,"Too Fast",E73="DQ","DQ")</f>
        <v>1</v>
      </c>
      <c r="G74" s="9">
        <f>IF(G73="DQ",0,IF(G73&lt;$D$73,0,1+COUNTIFS($E$73:$K$73,"DQ")+COUNTIFS($E$73:$K$73,"&lt;"&amp;$D$73)+COUNTIF($E$73:$K$73,"&gt;"&amp;G73)))</f>
        <v>3</v>
      </c>
      <c r="H74" s="14" cm="1">
        <f t="array" ref="H74">_xlfn.IFS(G74=4,1,G74=3,2,G74=2,3,G74=1,4,G73&lt;$D$73,"Too Fast",G73="DQ","DQ")</f>
        <v>2</v>
      </c>
      <c r="I74" s="9">
        <f>IF(I73="DQ",0,IF(I73&lt;$D$73,0,1+COUNTIFS($E$73:$K$73,"DQ")+COUNTIFS($E$73:$K$73,"&lt;"&amp;$D$73)+COUNTIF($E$73:$K$73,"&gt;"&amp;I73)))</f>
        <v>2</v>
      </c>
      <c r="J74" s="14" cm="1">
        <f t="array" ref="J74">_xlfn.IFS(I74=4,1,I74=3,2,I74=2,3,I74=1,4,I73&lt;$D$73,"Too Fast",I73="DQ","DQ")</f>
        <v>3</v>
      </c>
      <c r="K74" s="9">
        <f>IF(K73="DQ",0,IF(K73&lt;$D$73,0,1+COUNTIFS($E$73:$K$73,"DQ")+COUNTIFS($E$73:$K$73,"&lt;"&amp;$D$73)+COUNTIF($E$73:$K$73,"&gt;"&amp;K73)))</f>
        <v>1</v>
      </c>
      <c r="L74" s="14" cm="1">
        <f t="array" ref="L74">_xlfn.IFS(K74=4,1,K74=3,2,K74=2,3,K74=1,4,K73&lt;$D$73,"Too Fast",K73="DQ","DQ")</f>
        <v>4</v>
      </c>
    </row>
    <row r="75" spans="1:17" x14ac:dyDescent="0.35">
      <c r="A75" s="5">
        <v>34</v>
      </c>
      <c r="B75" s="10" t="s">
        <v>54</v>
      </c>
      <c r="C75" s="2" t="s">
        <v>23</v>
      </c>
      <c r="D75" s="16">
        <v>4.2928240740740747E-4</v>
      </c>
      <c r="E75" s="36">
        <v>4.7303240740740736E-4</v>
      </c>
      <c r="F75" s="37"/>
      <c r="G75" s="36">
        <v>5.5983796296296294E-4</v>
      </c>
      <c r="H75" s="37"/>
      <c r="I75" s="36">
        <v>4.9513888888888893E-4</v>
      </c>
      <c r="J75" s="37"/>
      <c r="K75" s="36">
        <v>4.825231481481481E-4</v>
      </c>
      <c r="L75" s="37"/>
    </row>
    <row r="76" spans="1:17" x14ac:dyDescent="0.35">
      <c r="A76" s="7"/>
      <c r="B76" s="8"/>
      <c r="C76" s="4" t="s">
        <v>15</v>
      </c>
      <c r="D76" s="16"/>
      <c r="E76" s="9">
        <f>IF(E75="DQ",0,IF(E75&lt;$D$75,0,1+COUNTIFS($E$75:$K$75,"DQ")+COUNTIFS($E$75:$K$75,"&lt;"&amp;$D$75)+COUNTIF($E$75:$K$75,"&gt;"&amp;E75)))</f>
        <v>4</v>
      </c>
      <c r="F76" s="14" cm="1">
        <f t="array" ref="F76">_xlfn.IFS(E76=4,1,E76=3,2,E76=2,3,E76=1,4,E75&lt;$D$75,"Too Fast",E75="DQ","DQ")</f>
        <v>1</v>
      </c>
      <c r="G76" s="9">
        <f>IF(G75="DQ",0,IF(G75&lt;$D$75,0,1+COUNTIFS($E$75:$K$75,"DQ")+COUNTIFS($E$75:$K$75,"&lt;"&amp;$D$75)+COUNTIF($E$75:$K$75,"&gt;"&amp;G75)))</f>
        <v>1</v>
      </c>
      <c r="H76" s="14" cm="1">
        <f t="array" ref="H76">_xlfn.IFS(G76=4,1,G76=3,2,G76=2,3,G76=1,4,G75&lt;$D$75,"Too Fast",G75="DQ","DQ")</f>
        <v>4</v>
      </c>
      <c r="I76" s="9">
        <f>IF(I75="DQ",0,IF(I75&lt;$D$75,0,1+COUNTIFS($E$75:$K$75,"DQ")+COUNTIFS($E$75:$K$75,"&lt;"&amp;$D$75)+COUNTIF($E$75:$K$75,"&gt;"&amp;I75)))</f>
        <v>2</v>
      </c>
      <c r="J76" s="14" cm="1">
        <f t="array" ref="J76">_xlfn.IFS(I76=4,1,I76=3,2,I76=2,3,I76=1,4,I75&lt;$D$75,"Too Fast",I75="DQ","DQ")</f>
        <v>3</v>
      </c>
      <c r="K76" s="9">
        <f>IF(K75="DQ",0,IF(K75&lt;$D$75,0,1+COUNTIFS($E$75:$K$75,"DQ")+COUNTIFS($E$75:$K$75,"&lt;"&amp;$D$75)+COUNTIF($E$75:$K$75,"&gt;"&amp;K75)))</f>
        <v>3</v>
      </c>
      <c r="L76" s="14" cm="1">
        <f t="array" ref="L76">_xlfn.IFS(K76=4,1,K76=3,2,K76=2,3,K76=1,4,K75&lt;$D$75,"Too Fast",K75="DQ","DQ")</f>
        <v>2</v>
      </c>
    </row>
    <row r="77" spans="1:17" x14ac:dyDescent="0.35">
      <c r="A77" s="5">
        <v>35</v>
      </c>
      <c r="B77" s="10" t="s">
        <v>55</v>
      </c>
      <c r="C77" s="2" t="s">
        <v>14</v>
      </c>
      <c r="D77" s="16">
        <v>9.5023148148148137E-4</v>
      </c>
      <c r="E77" s="36">
        <v>1.0365740740740741E-3</v>
      </c>
      <c r="F77" s="37"/>
      <c r="G77" s="36" t="s">
        <v>85</v>
      </c>
      <c r="H77" s="37"/>
      <c r="I77" s="36">
        <v>1.0401620370370371E-3</v>
      </c>
      <c r="J77" s="37"/>
      <c r="K77" s="36">
        <v>1.0623842592592592E-3</v>
      </c>
      <c r="L77" s="37"/>
    </row>
    <row r="78" spans="1:17" x14ac:dyDescent="0.35">
      <c r="A78" s="7"/>
      <c r="B78" s="8"/>
      <c r="C78" s="4" t="s">
        <v>15</v>
      </c>
      <c r="D78" s="16"/>
      <c r="E78" s="9">
        <f>IF(E77="DQ",0,IF(E77&lt;$D$77,0,1+COUNTIFS($E$77:$K$77,"DQ")+COUNTIFS($E$77:$K$77,"&lt;"&amp;$D$77)+COUNTIF($E$77:$K$77,"&gt;"&amp;E77)))</f>
        <v>4</v>
      </c>
      <c r="F78" s="14" cm="1">
        <f t="array" ref="F78">_xlfn.IFS(E78=4,1,E78=3,2,E78=2,3,E78=1,4,E77&lt;$D$77,"Too Fast",E77="DQ","DQ")</f>
        <v>1</v>
      </c>
      <c r="G78" s="9">
        <f>IF(G77="DQ",0,IF(G77&lt;$D$77,0,1+COUNTIFS($E$77:$K$77,"DQ")+COUNTIFS($E$77:$K$77,"&lt;"&amp;$D$77)+COUNTIF($E$77:$K$77,"&gt;"&amp;G77)))</f>
        <v>0</v>
      </c>
      <c r="H78" s="14" t="str" cm="1">
        <f t="array" ref="H78">_xlfn.IFS(G78=4,1,G78=3,2,G78=2,3,G78=1,4,G77&lt;$D$77,"Too Fast",G77="DQ","DQ")</f>
        <v>DQ</v>
      </c>
      <c r="I78" s="9">
        <f>IF(I77="DQ",0,IF(I77&lt;$D$77,0,1+COUNTIFS($E$77:$K$77,"DQ")+COUNTIFS($E$77:$K$77,"&lt;"&amp;$D$77)+COUNTIF($E$77:$K$77,"&gt;"&amp;I77)))</f>
        <v>3</v>
      </c>
      <c r="J78" s="14" cm="1">
        <f t="array" ref="J78">_xlfn.IFS(I78=4,1,I78=3,2,I78=2,3,I78=1,4,I77&lt;$D$77,"Too Fast",I77="DQ","DQ")</f>
        <v>2</v>
      </c>
      <c r="K78" s="9">
        <f>IF(K77="DQ",0,IF(K77&lt;$D$77,0,1+COUNTIFS($E$77:$K$77,"DQ")+COUNTIFS($E$77:$K$77,"&lt;"&amp;$D$77)+COUNTIF($E$77:$K$77,"&gt;"&amp;K77)))</f>
        <v>2</v>
      </c>
      <c r="L78" s="14" cm="1">
        <f t="array" ref="L78">_xlfn.IFS(K78=4,1,K78=3,2,K78=2,3,K78=1,4,K77&lt;$D$77,"Too Fast",K77="DQ","DQ")</f>
        <v>3</v>
      </c>
    </row>
    <row r="79" spans="1:17" x14ac:dyDescent="0.35">
      <c r="A79" s="5">
        <v>36</v>
      </c>
      <c r="B79" s="10" t="s">
        <v>56</v>
      </c>
      <c r="C79" s="2" t="s">
        <v>14</v>
      </c>
      <c r="D79" s="16">
        <v>8.553240740740741E-4</v>
      </c>
      <c r="E79" s="36">
        <v>9.173611111111112E-4</v>
      </c>
      <c r="F79" s="37"/>
      <c r="G79" s="36">
        <v>9.260416666666667E-4</v>
      </c>
      <c r="H79" s="37"/>
      <c r="I79" s="36">
        <v>8.7534722222222213E-4</v>
      </c>
      <c r="J79" s="37"/>
      <c r="K79" s="36">
        <v>9.6446759259259261E-4</v>
      </c>
      <c r="L79" s="37"/>
    </row>
    <row r="80" spans="1:17" x14ac:dyDescent="0.35">
      <c r="A80" s="7"/>
      <c r="B80" s="8"/>
      <c r="C80" s="4" t="s">
        <v>15</v>
      </c>
      <c r="D80" s="16"/>
      <c r="E80" s="9">
        <f>IF(E79="DQ",0,IF(E79&lt;$D$79,0,1+COUNTIFS($E$79:$K$79,"DQ")+COUNTIFS($E$79:$K$79,"&lt;"&amp;$D$79)+COUNTIF($E$79:$K$79,"&gt;"&amp;E79)))</f>
        <v>3</v>
      </c>
      <c r="F80" s="14" cm="1">
        <f t="array" ref="F80">_xlfn.IFS(E80=4,1,E80=3,2,E80=2,3,E80=1,4,E79&lt;$D$79,"Too Fast",E79="DQ","DQ")</f>
        <v>2</v>
      </c>
      <c r="G80" s="9">
        <f>IF(G79="DQ",0,IF(G79&lt;$D$79,0,1+COUNTIFS($E$79:$K$79,"DQ")+COUNTIFS($E$79:$K$79,"&lt;"&amp;$D$79)+COUNTIF($E$79:$K$79,"&gt;"&amp;G79)))</f>
        <v>2</v>
      </c>
      <c r="H80" s="14" cm="1">
        <f t="array" ref="H80">_xlfn.IFS(G80=4,1,G80=3,2,G80=2,3,G80=1,4,G79&lt;$D$79,"Too Fast",G79="DQ","DQ")</f>
        <v>3</v>
      </c>
      <c r="I80" s="9">
        <f>IF(I79="DQ",0,IF(I79&lt;$D$79,0,1+COUNTIFS($E$79:$K$79,"DQ")+COUNTIFS($E$79:$K$79,"&lt;"&amp;$D$79)+COUNTIF($E$79:$K$79,"&gt;"&amp;I79)))</f>
        <v>4</v>
      </c>
      <c r="J80" s="14" cm="1">
        <f t="array" ref="J80">_xlfn.IFS(I80=4,1,I80=3,2,I80=2,3,I80=1,4,I79&lt;$D$79,"Too Fast",I79="DQ","DQ")</f>
        <v>1</v>
      </c>
      <c r="K80" s="9">
        <f>IF(K79="DQ",0,IF(K79&lt;$D$79,0,1+COUNTIFS($E$79:$K$79,"DQ")+COUNTIFS($E$79:$K$79,"&lt;"&amp;$D$79)+COUNTIF($E$79:$K$79,"&gt;"&amp;K79)))</f>
        <v>1</v>
      </c>
      <c r="L80" s="14" cm="1">
        <f t="array" ref="L80">_xlfn.IFS(K80=4,1,K80=3,2,K80=2,3,K80=1,4,K79&lt;$D$79,"Too Fast",K79="DQ","DQ")</f>
        <v>4</v>
      </c>
    </row>
    <row r="81" spans="1:12" x14ac:dyDescent="0.35">
      <c r="A81" s="5">
        <v>37</v>
      </c>
      <c r="B81" s="10" t="s">
        <v>57</v>
      </c>
      <c r="C81" s="2" t="s">
        <v>14</v>
      </c>
      <c r="D81" s="16">
        <v>9.032407407407407E-4</v>
      </c>
      <c r="E81" s="36">
        <v>1.3635416666666668E-3</v>
      </c>
      <c r="F81" s="37"/>
      <c r="G81" s="36">
        <v>1.2565972222222221E-3</v>
      </c>
      <c r="H81" s="37"/>
      <c r="I81" s="36">
        <v>1.1646990740740741E-3</v>
      </c>
      <c r="J81" s="37"/>
      <c r="K81" s="36">
        <v>1.2475694444444444E-3</v>
      </c>
      <c r="L81" s="37"/>
    </row>
    <row r="82" spans="1:12" x14ac:dyDescent="0.35">
      <c r="A82" s="7"/>
      <c r="B82" s="8"/>
      <c r="C82" s="4" t="s">
        <v>15</v>
      </c>
      <c r="D82" s="16"/>
      <c r="E82" s="9">
        <f>IF(E81="DQ",0,IF(E81&lt;$D$81,0,1+COUNTIFS($E$81:$K$81,"DQ")+COUNTIFS($E$81:$K$81,"&lt;"&amp;$D$81)+COUNTIF($E$81:$K$81,"&gt;"&amp;E81)))</f>
        <v>1</v>
      </c>
      <c r="F82" s="14" cm="1">
        <f t="array" ref="F82">_xlfn.IFS(E82=4,1,E82=3,2,E82=2,3,E82=1,4,E81&lt;$D$81,"Too Fast",E81="DQ","DQ")</f>
        <v>4</v>
      </c>
      <c r="G82" s="9">
        <f>IF(G81="DQ",0,IF(G81&lt;$D$81,0,1+COUNTIFS($E$81:$K$81,"DQ")+COUNTIFS($E$81:$K$81,"&lt;"&amp;$D$81)+COUNTIF($E$81:$K$81,"&gt;"&amp;G81)))</f>
        <v>2</v>
      </c>
      <c r="H82" s="14" cm="1">
        <f t="array" ref="H82">_xlfn.IFS(G82=4,1,G82=3,2,G82=2,3,G82=1,4,G81&lt;$D$81,"Too Fast",G81="DQ","DQ")</f>
        <v>3</v>
      </c>
      <c r="I82" s="9">
        <f>IF(I81="DQ",0,IF(I81&lt;$D$81,0,1+COUNTIFS($E$81:$K$81,"DQ")+COUNTIFS($E$81:$K$81,"&lt;"&amp;$D$81)+COUNTIF($E$81:$K$81,"&gt;"&amp;I81)))</f>
        <v>4</v>
      </c>
      <c r="J82" s="14" cm="1">
        <f t="array" ref="J82">_xlfn.IFS(I82=4,1,I82=3,2,I82=2,3,I82=1,4,I81&lt;$D$81,"Too Fast",I81="DQ","DQ")</f>
        <v>1</v>
      </c>
      <c r="K82" s="9">
        <f>IF(K81="DQ",0,IF(K81&lt;$D$81,0,1+COUNTIFS($E$81:$K$81,"DQ")+COUNTIFS($E$81:$K$81,"&lt;"&amp;$D$81)+COUNTIF($E$81:$K$81,"&gt;"&amp;K81)))</f>
        <v>3</v>
      </c>
      <c r="L82" s="14" cm="1">
        <f t="array" ref="L82">_xlfn.IFS(K82=4,1,K82=3,2,K82=2,3,K82=1,4,K81&lt;$D$81,"Too Fast",K81="DQ","DQ")</f>
        <v>2</v>
      </c>
    </row>
    <row r="83" spans="1:12" x14ac:dyDescent="0.35">
      <c r="A83" s="5">
        <v>38</v>
      </c>
      <c r="B83" s="10" t="s">
        <v>58</v>
      </c>
      <c r="C83" s="2" t="s">
        <v>14</v>
      </c>
      <c r="D83" s="16">
        <v>9.0509259259259265E-4</v>
      </c>
      <c r="E83" s="36" t="s">
        <v>85</v>
      </c>
      <c r="F83" s="37"/>
      <c r="G83" s="36">
        <v>1.2166666666666667E-3</v>
      </c>
      <c r="H83" s="37"/>
      <c r="I83" s="36">
        <v>1.3317129629629629E-3</v>
      </c>
      <c r="J83" s="37"/>
      <c r="K83" s="36">
        <v>1.3701388888888888E-3</v>
      </c>
      <c r="L83" s="37"/>
    </row>
    <row r="84" spans="1:12" x14ac:dyDescent="0.35">
      <c r="A84" s="7"/>
      <c r="B84" s="8"/>
      <c r="C84" s="4" t="s">
        <v>15</v>
      </c>
      <c r="D84" s="16"/>
      <c r="E84" s="9">
        <f>IF(E83="DQ",0,IF(E83&lt;$D$83,0,1+COUNTIFS($E$83:$K$83,"DQ")+COUNTIFS($E$83:$K$83,"&lt;"&amp;$D$83)+COUNTIF($E$83:$K$83,"&gt;"&amp;E83)))</f>
        <v>0</v>
      </c>
      <c r="F84" s="14" t="str" cm="1">
        <f t="array" ref="F84">_xlfn.IFS(E84=4,1,E84=3,2,E84=2,3,E84=1,4,E83&lt;$D$83,"Too Fast",E83="DQ","DQ")</f>
        <v>DQ</v>
      </c>
      <c r="G84" s="9">
        <f>IF(G83="DQ",0,IF(G83&lt;$D$83,0,1+COUNTIFS($E$83:$K$83,"DQ")+COUNTIFS($E$83:$K$83,"&lt;"&amp;$D$83)+COUNTIF($E$83:$K$83,"&gt;"&amp;G83)))</f>
        <v>4</v>
      </c>
      <c r="H84" s="14" cm="1">
        <f t="array" ref="H84">_xlfn.IFS(G84=4,1,G84=3,2,G84=2,3,G84=1,4,G83&lt;$D$83,"Too Fast",G83="DQ","DQ")</f>
        <v>1</v>
      </c>
      <c r="I84" s="9">
        <f>IF(I83="DQ",0,IF(I83&lt;$D$83,0,1+COUNTIFS($E$83:$K$83,"DQ")+COUNTIFS($E$83:$K$83,"&lt;"&amp;$D$83)+COUNTIF($E$83:$K$83,"&gt;"&amp;I83)))</f>
        <v>3</v>
      </c>
      <c r="J84" s="14" cm="1">
        <f t="array" ref="J84">_xlfn.IFS(I84=4,1,I84=3,2,I84=2,3,I84=1,4,I83&lt;$D$83,"Too Fast",I83="DQ","DQ")</f>
        <v>2</v>
      </c>
      <c r="K84" s="9">
        <f>IF(K83="DQ",0,IF(K83&lt;$D$83,0,1+COUNTIFS($E$83:$K$83,"DQ")+COUNTIFS($E$83:$K$83,"&lt;"&amp;$D$83)+COUNTIF($E$83:$K$83,"&gt;"&amp;K83)))</f>
        <v>2</v>
      </c>
      <c r="L84" s="14" cm="1">
        <f t="array" ref="L84">_xlfn.IFS(K84=4,1,K84=3,2,K84=2,3,K84=1,4,K83&lt;$D$83,"Too Fast",K83="DQ","DQ")</f>
        <v>3</v>
      </c>
    </row>
    <row r="85" spans="1:12" x14ac:dyDescent="0.35">
      <c r="A85" s="5">
        <v>39</v>
      </c>
      <c r="B85" s="10" t="s">
        <v>59</v>
      </c>
      <c r="C85" s="2" t="s">
        <v>14</v>
      </c>
      <c r="D85" s="16">
        <v>9.8692129629629629E-4</v>
      </c>
      <c r="E85" s="36">
        <v>1.2866898148148147E-3</v>
      </c>
      <c r="F85" s="37"/>
      <c r="G85" s="36">
        <v>1.2770833333333334E-3</v>
      </c>
      <c r="H85" s="37"/>
      <c r="I85" s="36">
        <v>1.1418981481481482E-3</v>
      </c>
      <c r="J85" s="37"/>
      <c r="K85" s="36">
        <v>1.2457175925925925E-3</v>
      </c>
      <c r="L85" s="37"/>
    </row>
    <row r="86" spans="1:12" x14ac:dyDescent="0.35">
      <c r="A86" s="7"/>
      <c r="B86" s="8"/>
      <c r="C86" s="4" t="s">
        <v>15</v>
      </c>
      <c r="D86" s="16"/>
      <c r="E86" s="9">
        <f>IF(E85="DQ",0,IF(E85&lt;$D$85,0,1+COUNTIFS($E$85:$K$85,"DQ")+COUNTIFS($E$85:$K$85,"&lt;"&amp;$D$85)+COUNTIF($E$85:$K$85,"&gt;"&amp;E85)))</f>
        <v>1</v>
      </c>
      <c r="F86" s="14" cm="1">
        <f t="array" ref="F86">_xlfn.IFS(E86=4,1,E86=3,2,E86=2,3,E86=1,4,E85&lt;$D$85,"Too Fast",E85="DQ","DQ")</f>
        <v>4</v>
      </c>
      <c r="G86" s="9">
        <f>IF(G85="DQ",0,IF(G85&lt;$D$85,0,1+COUNTIFS($E$85:$K$85,"DQ")+COUNTIFS($E$85:$K$85,"&lt;"&amp;$D$85)+COUNTIF($E$85:$K$85,"&gt;"&amp;G85)))</f>
        <v>2</v>
      </c>
      <c r="H86" s="14" cm="1">
        <f t="array" ref="H86">_xlfn.IFS(G86=4,1,G86=3,2,G86=2,3,G86=1,4,G85&lt;$D$85,"Too Fast",G85="DQ","DQ")</f>
        <v>3</v>
      </c>
      <c r="I86" s="9">
        <f>IF(I85="DQ",0,IF(I85&lt;$D$85,0,1+COUNTIFS($E$85:$K$85,"DQ")+COUNTIFS($E$85:$K$85,"&lt;"&amp;$D$85)+COUNTIF($E$85:$K$85,"&gt;"&amp;I85)))</f>
        <v>4</v>
      </c>
      <c r="J86" s="14" cm="1">
        <f t="array" ref="J86">_xlfn.IFS(I86=4,1,I86=3,2,I86=2,3,I86=1,4,I85&lt;$D$85,"Too Fast",I85="DQ","DQ")</f>
        <v>1</v>
      </c>
      <c r="K86" s="9">
        <f>IF(K85="DQ",0,IF(K85&lt;$D$85,0,1+COUNTIFS($E$85:$K$85,"DQ")+COUNTIFS($E$85:$K$85,"&lt;"&amp;$D$85)+COUNTIF($E$85:$K$85,"&gt;"&amp;K85)))</f>
        <v>3</v>
      </c>
      <c r="L86" s="14" cm="1">
        <f t="array" ref="L86">_xlfn.IFS(K86=4,1,K86=3,2,K86=2,3,K86=1,4,K85&lt;$D$85,"Too Fast",K85="DQ","DQ")</f>
        <v>2</v>
      </c>
    </row>
    <row r="87" spans="1:12" x14ac:dyDescent="0.35">
      <c r="A87" s="5">
        <v>40</v>
      </c>
      <c r="B87" s="10" t="s">
        <v>60</v>
      </c>
      <c r="C87" s="2" t="s">
        <v>14</v>
      </c>
      <c r="D87" s="16">
        <v>9.4930555555555556E-4</v>
      </c>
      <c r="E87" s="36">
        <v>1.3855324074074076E-3</v>
      </c>
      <c r="F87" s="37"/>
      <c r="G87" s="36">
        <v>1.2001157407407407E-3</v>
      </c>
      <c r="H87" s="37"/>
      <c r="I87" s="36">
        <v>1.305324074074074E-3</v>
      </c>
      <c r="J87" s="37"/>
      <c r="K87" s="36">
        <v>1.2135416666666666E-3</v>
      </c>
      <c r="L87" s="37"/>
    </row>
    <row r="88" spans="1:12" x14ac:dyDescent="0.35">
      <c r="A88" s="7"/>
      <c r="B88" s="8"/>
      <c r="C88" s="4" t="s">
        <v>15</v>
      </c>
      <c r="D88" s="16"/>
      <c r="E88" s="9">
        <f>IF(E87="DQ",0,IF(E87&lt;$D$87,0,1+COUNTIFS($E$87:$K$87,"DQ")+COUNTIFS($E$87:$K$87,"&lt;"&amp;$D$87)+COUNTIF($E$87:$K$87,"&gt;"&amp;E87)))</f>
        <v>1</v>
      </c>
      <c r="F88" s="14" cm="1">
        <f t="array" ref="F88">_xlfn.IFS(E88=4,1,E88=3,2,E88=2,3,E88=1,4,E87&lt;$D$87,"Too Fast",E87="DQ","DQ")</f>
        <v>4</v>
      </c>
      <c r="G88" s="9">
        <f>IF(G87="DQ",0,IF(G87&lt;$D$87,0,1+COUNTIFS($E$87:$K$87,"DQ")+COUNTIFS($E$87:$K$87,"&lt;"&amp;$D$87)+COUNTIF($E$87:$K$87,"&gt;"&amp;G87)))</f>
        <v>4</v>
      </c>
      <c r="H88" s="14" cm="1">
        <f t="array" ref="H88">_xlfn.IFS(G88=4,1,G88=3,2,G88=2,3,G88=1,4,G87&lt;$D$87,"Too Fast",G87="DQ","DQ")</f>
        <v>1</v>
      </c>
      <c r="I88" s="9">
        <f>IF(I87="DQ",0,IF(I87&lt;$D$87,0,1+COUNTIFS($E$87:$K$87,"DQ")+COUNTIFS($E$87:$K$87,"&lt;"&amp;$D$87)+COUNTIF($E$87:$K$87,"&gt;"&amp;I87)))</f>
        <v>2</v>
      </c>
      <c r="J88" s="14" cm="1">
        <f t="array" ref="J88">_xlfn.IFS(I88=4,1,I88=3,2,I88=2,3,I88=1,4,I87&lt;$D$87,"Too Fast",I87="DQ","DQ")</f>
        <v>3</v>
      </c>
      <c r="K88" s="9">
        <f>IF(K87="DQ",0,IF(K87&lt;$D$87,0,1+COUNTIFS($E$87:$K$87,"DQ")+COUNTIFS($E$87:$K$87,"&lt;"&amp;$D$87)+COUNTIF($E$87:$K$87,"&gt;"&amp;K87)))</f>
        <v>3</v>
      </c>
      <c r="L88" s="14" cm="1">
        <f t="array" ref="L88">_xlfn.IFS(K88=4,1,K88=3,2,K88=2,3,K88=1,4,K87&lt;$D$87,"Too Fast",K87="DQ","DQ")</f>
        <v>2</v>
      </c>
    </row>
    <row r="89" spans="1:12" x14ac:dyDescent="0.35">
      <c r="A89" s="2"/>
      <c r="B89" s="12" t="s">
        <v>61</v>
      </c>
      <c r="C89" s="3"/>
      <c r="D89" s="16"/>
      <c r="E89" s="19">
        <f>E68+E70+E72+E74+E76+E78+E80+E82+E84+E86+E88</f>
        <v>90</v>
      </c>
      <c r="F89" s="19"/>
      <c r="G89" s="19">
        <f t="shared" ref="G89:K89" si="33">G68+G70+G72+G74+G76+G78+G80+G82+G84+G86+G88</f>
        <v>87</v>
      </c>
      <c r="H89" s="19"/>
      <c r="I89" s="19">
        <f t="shared" si="33"/>
        <v>116</v>
      </c>
      <c r="J89" s="19"/>
      <c r="K89" s="19">
        <f t="shared" si="33"/>
        <v>93</v>
      </c>
      <c r="L89" s="18"/>
    </row>
    <row r="90" spans="1:12" x14ac:dyDescent="0.35">
      <c r="A90" s="5">
        <v>41</v>
      </c>
      <c r="B90" s="10" t="s">
        <v>62</v>
      </c>
      <c r="C90" s="2" t="s">
        <v>23</v>
      </c>
      <c r="D90" s="16">
        <v>4.9652777777777781E-4</v>
      </c>
      <c r="E90" s="36">
        <v>6.1215277777777776E-4</v>
      </c>
      <c r="F90" s="37"/>
      <c r="G90" s="36">
        <v>7.2511574074074069E-4</v>
      </c>
      <c r="H90" s="37"/>
      <c r="I90" s="36">
        <v>5.4571759259259254E-4</v>
      </c>
      <c r="J90" s="37"/>
      <c r="K90" s="36">
        <v>6.5254629629629636E-4</v>
      </c>
      <c r="L90" s="37"/>
    </row>
    <row r="91" spans="1:12" x14ac:dyDescent="0.35">
      <c r="A91" s="7"/>
      <c r="B91" s="8"/>
      <c r="C91" s="4" t="s">
        <v>15</v>
      </c>
      <c r="D91" s="16"/>
      <c r="E91" s="9">
        <f>IF(E90="DQ",0,IF(E90&lt;$D$90,0,1+COUNTIFS($E$90:$K$90,"DQ")+COUNTIFS($E$90:$K$90,"&lt;"&amp;$D$90)+COUNTIF($E$90:$K$90,"&gt;"&amp;E90)))</f>
        <v>3</v>
      </c>
      <c r="F91" s="14" cm="1">
        <f t="array" ref="F91">_xlfn.IFS(E91=4,1,E91=3,2,E91=2,3,E91=1,4,E90&lt;$D$90,"Too Fast",E90="DQ","DQ")</f>
        <v>2</v>
      </c>
      <c r="G91" s="9">
        <f>IF(G90="DQ",0,IF(G90&lt;$D$90,0,1+COUNTIFS($E$90:$K$90,"DQ")+COUNTIFS($E$90:$K$90,"&lt;"&amp;$D$90)+COUNTIF($E$90:$K$90,"&gt;"&amp;G90)))</f>
        <v>1</v>
      </c>
      <c r="H91" s="14" cm="1">
        <f t="array" ref="H91">_xlfn.IFS(G91=4,1,G91=3,2,G91=2,3,G91=1,4,G90&lt;$D$90,"Too Fast",G90="DQ","DQ")</f>
        <v>4</v>
      </c>
      <c r="I91" s="9">
        <f>IF(I90="DQ",0,IF(I90&lt;$D$90,0,1+COUNTIFS($E$90:$K$90,"DQ")+COUNTIFS($E$90:$K$90,"&lt;"&amp;$D$90)+COUNTIF($E$90:$K$90,"&gt;"&amp;I90)))</f>
        <v>4</v>
      </c>
      <c r="J91" s="14" cm="1">
        <f t="array" ref="J91">_xlfn.IFS(I91=4,1,I91=3,2,I91=2,3,I91=1,4,I90&lt;$D$90,"Too Fast",I90="DQ","DQ")</f>
        <v>1</v>
      </c>
      <c r="K91" s="9">
        <f>IF(K90="DQ",0,IF(K90&lt;$D$90,0,1+COUNTIFS($E$90:$K$90,"DQ")+COUNTIFS($E$90:$K$90,"&lt;"&amp;$D$90)+COUNTIF($E$90:$K$90,"&gt;"&amp;K90)))</f>
        <v>2</v>
      </c>
      <c r="L91" s="14" cm="1">
        <f t="array" ref="L91">_xlfn.IFS(K91=4,1,K91=3,2,K91=2,3,K91=1,4,K90&lt;$D$90,"Too Fast",K90="DQ","DQ")</f>
        <v>3</v>
      </c>
    </row>
    <row r="92" spans="1:12" x14ac:dyDescent="0.35">
      <c r="A92" s="5">
        <v>42</v>
      </c>
      <c r="B92" s="10" t="s">
        <v>63</v>
      </c>
      <c r="C92" s="2" t="s">
        <v>23</v>
      </c>
      <c r="D92" s="16">
        <v>4.8124999999999996E-4</v>
      </c>
      <c r="E92" s="36">
        <v>5.7013888888888891E-4</v>
      </c>
      <c r="F92" s="37"/>
      <c r="G92" s="36">
        <v>5.8078703703703699E-4</v>
      </c>
      <c r="H92" s="37"/>
      <c r="I92" s="36">
        <v>6.6666666666666664E-4</v>
      </c>
      <c r="J92" s="37"/>
      <c r="K92" s="36">
        <v>5.2523148148148156E-4</v>
      </c>
      <c r="L92" s="37"/>
    </row>
    <row r="93" spans="1:12" x14ac:dyDescent="0.35">
      <c r="A93" s="7"/>
      <c r="B93" s="8"/>
      <c r="C93" s="4" t="s">
        <v>15</v>
      </c>
      <c r="D93" s="16"/>
      <c r="E93" s="9">
        <f>IF(E92="DQ",0,IF(E92&lt;$D$92,0,1+COUNTIFS($E$92:$K$92,"DQ")+COUNTIFS($E$92:$K$92,"&lt;"&amp;$D$92)+COUNTIF($E$92:$K$92,"&gt;"&amp;E92)))</f>
        <v>3</v>
      </c>
      <c r="F93" s="14" cm="1">
        <f t="array" ref="F93">_xlfn.IFS(E93=4,1,E93=3,2,E93=2,3,E93=1,4,E92&lt;$D$92,"Too Fast",E92="DQ","DQ")</f>
        <v>2</v>
      </c>
      <c r="G93" s="9">
        <f>IF(G92="DQ",0,IF(G92&lt;$D$92,0,1+COUNTIFS($E$92:$K$92,"DQ")+COUNTIFS($E$92:$K$92,"&lt;"&amp;$D$92)+COUNTIF($E$92:$K$92,"&gt;"&amp;G92)))</f>
        <v>2</v>
      </c>
      <c r="H93" s="14" cm="1">
        <f t="array" ref="H93">_xlfn.IFS(G93=4,1,G93=3,2,G93=2,3,G93=1,4,G92&lt;$D$92,"Too Fast",G92="DQ","DQ")</f>
        <v>3</v>
      </c>
      <c r="I93" s="9">
        <f>IF(I92="DQ",0,IF(I92&lt;$D$92,0,1+COUNTIFS($E$92:$K$92,"DQ")+COUNTIFS($E$92:$K$92,"&lt;"&amp;$D$92)+COUNTIF($E$92:$K$92,"&gt;"&amp;I92)))</f>
        <v>1</v>
      </c>
      <c r="J93" s="14" cm="1">
        <f t="array" ref="J93">_xlfn.IFS(I93=4,1,I93=3,2,I93=2,3,I93=1,4,I92&lt;$D$92,"Too Fast",I92="DQ","DQ")</f>
        <v>4</v>
      </c>
      <c r="K93" s="9">
        <f>IF(K92="DQ",0,IF(K92&lt;$D$92,0,1+COUNTIFS($E$92:$K$92,"DQ")+COUNTIFS($E$92:$K$92,"&lt;"&amp;$D$92)+COUNTIF($E$92:$K$92,"&gt;"&amp;K92)))</f>
        <v>4</v>
      </c>
      <c r="L93" s="14" cm="1">
        <f t="array" ref="L93">_xlfn.IFS(K93=4,1,K93=3,2,K93=2,3,K93=1,4,K92&lt;$D$92,"Too Fast",K92="DQ","DQ")</f>
        <v>1</v>
      </c>
    </row>
    <row r="94" spans="1:12" x14ac:dyDescent="0.35">
      <c r="A94" s="5">
        <v>43</v>
      </c>
      <c r="B94" s="10" t="s">
        <v>64</v>
      </c>
      <c r="C94" s="2" t="s">
        <v>14</v>
      </c>
      <c r="D94" s="16">
        <v>7.1874999999999999E-4</v>
      </c>
      <c r="E94" s="36">
        <v>7.7557870370370378E-4</v>
      </c>
      <c r="F94" s="37"/>
      <c r="G94" s="36">
        <v>8.2326388888888879E-4</v>
      </c>
      <c r="H94" s="37"/>
      <c r="I94" s="36">
        <v>7.606481481481481E-4</v>
      </c>
      <c r="J94" s="37"/>
      <c r="K94" s="36">
        <v>8.1168981481481478E-4</v>
      </c>
      <c r="L94" s="37"/>
    </row>
    <row r="95" spans="1:12" x14ac:dyDescent="0.35">
      <c r="A95" s="8"/>
      <c r="B95" s="8"/>
      <c r="C95" s="4" t="s">
        <v>15</v>
      </c>
      <c r="D95" s="16"/>
      <c r="E95" s="9">
        <f>IF(E94="DQ",0,IF(E94&lt;$D$94,0,1+COUNTIFS($E$94:$K$94,"DQ")+COUNTIFS($E$94:$K$94,"&lt;"&amp;$D$94)+COUNTIF($E$94:$K$94,"&gt;"&amp;E94)))</f>
        <v>3</v>
      </c>
      <c r="F95" s="14" cm="1">
        <f t="array" ref="F95">_xlfn.IFS(E95=4,1,E95=3,2,E95=2,3,E95=1,4,E94&lt;$D$94,"Too Fast",E94="DQ","DQ")</f>
        <v>2</v>
      </c>
      <c r="G95" s="9">
        <f>IF(G94="DQ",0,IF(G94&lt;$D$94,0,1+COUNTIFS($E$94:$K$94,"DQ")+COUNTIFS($E$94:$K$94,"&lt;"&amp;$D$94)+COUNTIF($E$94:$K$94,"&gt;"&amp;G94)))</f>
        <v>1</v>
      </c>
      <c r="H95" s="14" cm="1">
        <f t="array" ref="H95">_xlfn.IFS(G95=4,1,G95=3,2,G95=2,3,G95=1,4,G94&lt;$D$94,"Too Fast",G94="DQ","DQ")</f>
        <v>4</v>
      </c>
      <c r="I95" s="9">
        <f>IF(I94="DQ",0,IF(I94&lt;$D$94,0,1+COUNTIFS($E$94:$K$94,"DQ")+COUNTIFS($E$94:$K$94,"&lt;"&amp;$D$94)+COUNTIF($E$94:$K$94,"&gt;"&amp;I94)))</f>
        <v>4</v>
      </c>
      <c r="J95" s="14" cm="1">
        <f t="array" ref="J95">_xlfn.IFS(I95=4,1,I95=3,2,I95=2,3,I95=1,4,I94&lt;$D$94,"Too Fast",I94="DQ","DQ")</f>
        <v>1</v>
      </c>
      <c r="K95" s="9">
        <f>IF(K94="DQ",0,IF(K94&lt;$D$94,0,1+COUNTIFS($E$94:$K$94,"DQ")+COUNTIFS($E$94:$K$94,"&lt;"&amp;$D$94)+COUNTIF($E$94:$K$94,"&gt;"&amp;K94)))</f>
        <v>2</v>
      </c>
      <c r="L95" s="14" cm="1">
        <f t="array" ref="L95">_xlfn.IFS(K95=4,1,K95=3,2,K95=2,3,K95=1,4,K94&lt;$D$94,"Too Fast",K94="DQ","DQ")</f>
        <v>3</v>
      </c>
    </row>
    <row r="96" spans="1:12" x14ac:dyDescent="0.35">
      <c r="A96" s="5">
        <v>44</v>
      </c>
      <c r="B96" s="10" t="s">
        <v>65</v>
      </c>
      <c r="C96" s="2" t="s">
        <v>14</v>
      </c>
      <c r="D96" s="16">
        <v>6.4004629629629622E-4</v>
      </c>
      <c r="E96" s="36">
        <v>8.1979166666666669E-4</v>
      </c>
      <c r="F96" s="37"/>
      <c r="G96" s="36">
        <v>7.70486111111111E-4</v>
      </c>
      <c r="H96" s="37"/>
      <c r="I96" s="36">
        <v>7.2268518518518515E-4</v>
      </c>
      <c r="J96" s="37"/>
      <c r="K96" s="36">
        <v>7.3310185185185186E-4</v>
      </c>
      <c r="L96" s="37"/>
    </row>
    <row r="97" spans="1:12" x14ac:dyDescent="0.35">
      <c r="A97" s="7"/>
      <c r="B97" s="8"/>
      <c r="C97" s="4" t="s">
        <v>15</v>
      </c>
      <c r="D97" s="16"/>
      <c r="E97" s="9">
        <f>IF(E96="DQ",0,IF(E96&lt;$D$96,0,1+COUNTIFS($E$96:$K$96,"DQ")+COUNTIFS($E$96:$K$96,"&lt;"&amp;$D$96)+COUNTIF($E$96:$K$96,"&gt;"&amp;E96)))</f>
        <v>1</v>
      </c>
      <c r="F97" s="14" cm="1">
        <f t="array" ref="F97">_xlfn.IFS(E97=4,1,E97=3,2,E97=2,3,E97=1,4,E96&lt;$D$96,"Too Fast",E96="DQ","DQ")</f>
        <v>4</v>
      </c>
      <c r="G97" s="9">
        <f>IF(G96="DQ",0,IF(G96&lt;$D$96,0,1+COUNTIFS($E$96:$K$96,"DQ")+COUNTIFS($E$96:$K$96,"&lt;"&amp;$D$96)+COUNTIF($E$96:$K$96,"&gt;"&amp;G96)))</f>
        <v>2</v>
      </c>
      <c r="H97" s="14" cm="1">
        <f t="array" ref="H97">_xlfn.IFS(G97=4,1,G97=3,2,G97=2,3,G97=1,4,G96&lt;$D$96,"Too Fast",G96="DQ","DQ")</f>
        <v>3</v>
      </c>
      <c r="I97" s="9">
        <f>IF(I96="DQ",0,IF(I96&lt;$D$96,0,1+COUNTIFS($E$96:$K$96,"DQ")+COUNTIFS($E$96:$K$96,"&lt;"&amp;$D$96)+COUNTIF($E$96:$K$96,"&gt;"&amp;I96)))</f>
        <v>4</v>
      </c>
      <c r="J97" s="14" cm="1">
        <f t="array" ref="J97">_xlfn.IFS(I97=4,1,I97=3,2,I97=2,3,I97=1,4,I96&lt;$D$96,"Too Fast",I96="DQ","DQ")</f>
        <v>1</v>
      </c>
      <c r="K97" s="9">
        <f>IF(K96="DQ",0,IF(K96&lt;$D$96,0,1+COUNTIFS($E$96:$K$96,"DQ")+COUNTIFS($E$96:$K$96,"&lt;"&amp;$D$96)+COUNTIF($E$96:$K$96,"&gt;"&amp;K96)))</f>
        <v>3</v>
      </c>
      <c r="L97" s="14" cm="1">
        <f t="array" ref="L97">_xlfn.IFS(K97=4,1,K97=3,2,K97=2,3,K97=1,4,K96&lt;$D$96,"Too Fast",K96="DQ","DQ")</f>
        <v>2</v>
      </c>
    </row>
    <row r="98" spans="1:12" x14ac:dyDescent="0.35">
      <c r="A98" s="5">
        <v>45</v>
      </c>
      <c r="B98" s="10" t="s">
        <v>66</v>
      </c>
      <c r="C98" s="2" t="s">
        <v>20</v>
      </c>
      <c r="D98" s="16">
        <v>3.0972222222222225E-4</v>
      </c>
      <c r="E98" s="36">
        <v>4.4085648148148152E-4</v>
      </c>
      <c r="F98" s="37"/>
      <c r="G98" s="36">
        <v>3.8634259259259264E-4</v>
      </c>
      <c r="H98" s="37"/>
      <c r="I98" s="36">
        <v>3.2557870370370369E-4</v>
      </c>
      <c r="J98" s="37"/>
      <c r="K98" s="36" t="s">
        <v>85</v>
      </c>
      <c r="L98" s="37"/>
    </row>
    <row r="99" spans="1:12" x14ac:dyDescent="0.35">
      <c r="A99" s="7"/>
      <c r="B99" s="8"/>
      <c r="C99" s="4" t="s">
        <v>15</v>
      </c>
      <c r="D99" s="16"/>
      <c r="E99" s="9">
        <f>IF(E98="DQ",0,IF(E98&lt;$D$98,0,1+COUNTIFS($E$98:$K$98,"DQ")+COUNTIFS($E$98:$K$98,"&lt;"&amp;$D$98)+COUNTIF($E$98:$K$98,"&gt;"&amp;E98)))</f>
        <v>2</v>
      </c>
      <c r="F99" s="14" cm="1">
        <f t="array" ref="F99">_xlfn.IFS(E99=4,1,E99=3,2,E99=2,3,E99=1,4,E98&lt;$D$98,"Too Fast",E98="DQ","DQ")</f>
        <v>3</v>
      </c>
      <c r="G99" s="9">
        <f>IF(G98="DQ",0,IF(G98&lt;$D$98,0,1+COUNTIFS($E$98:$K$98,"DQ")+COUNTIFS($E$98:$K$98,"&lt;"&amp;$D$98)+COUNTIF($E$98:$K$98,"&gt;"&amp;G98)))</f>
        <v>3</v>
      </c>
      <c r="H99" s="14" cm="1">
        <f t="array" ref="H99">_xlfn.IFS(G99=4,1,G99=3,2,G99=2,3,G99=1,4,G98&lt;$D$98,"Too Fast",G98="DQ","DQ")</f>
        <v>2</v>
      </c>
      <c r="I99" s="9">
        <f>IF(I98="DQ",0,IF(I98&lt;$D$98,0,1+COUNTIFS($E$98:$K$98,"DQ")+COUNTIFS($E$98:$K$98,"&lt;"&amp;$D$98)+COUNTIF($E$98:$K$98,"&gt;"&amp;I98)))</f>
        <v>4</v>
      </c>
      <c r="J99" s="14" cm="1">
        <f t="array" ref="J99">_xlfn.IFS(I99=4,1,I99=3,2,I99=2,3,I99=1,4,I98&lt;$D$98,"Too Fast",I98="DQ","DQ")</f>
        <v>1</v>
      </c>
      <c r="K99" s="9">
        <f>IF(K98="DQ",0,IF(K98&lt;$D$98,0,1+COUNTIFS($E$98:$K$98,"DQ")+COUNTIFS($E$98:$K$98,"&lt;"&amp;$D$98)+COUNTIF($E$98:$K$98,"&gt;"&amp;K98)))</f>
        <v>0</v>
      </c>
      <c r="L99" s="14" t="str" cm="1">
        <f t="array" ref="L99">_xlfn.IFS(K99=4,1,K99=3,2,K99=2,3,K99=1,4,K98&lt;$D$98,"Too Fast",K98="DQ","DQ")</f>
        <v>DQ</v>
      </c>
    </row>
    <row r="100" spans="1:12" x14ac:dyDescent="0.35">
      <c r="A100" s="5">
        <v>46</v>
      </c>
      <c r="B100" s="10" t="s">
        <v>67</v>
      </c>
      <c r="C100" s="2" t="s">
        <v>20</v>
      </c>
      <c r="D100" s="16">
        <v>2.9444444444444445E-4</v>
      </c>
      <c r="E100" s="36">
        <v>4.4837962962962963E-4</v>
      </c>
      <c r="F100" s="37"/>
      <c r="G100" s="36">
        <v>3.9363425925925926E-4</v>
      </c>
      <c r="H100" s="37"/>
      <c r="I100" s="36">
        <v>4.3506944444444447E-4</v>
      </c>
      <c r="J100" s="37"/>
      <c r="K100" s="36">
        <v>4.4212962962962966E-4</v>
      </c>
      <c r="L100" s="37"/>
    </row>
    <row r="101" spans="1:12" x14ac:dyDescent="0.35">
      <c r="A101" s="8"/>
      <c r="B101" s="8"/>
      <c r="C101" s="4" t="s">
        <v>15</v>
      </c>
      <c r="D101" s="16"/>
      <c r="E101" s="9">
        <f>IF(E100="DQ",0,IF(E100&lt;$D$100,0,1+COUNTIFS($E$100:$K$100,"DQ")+COUNTIFS($E$100:$K$100,"&lt;"&amp;$D$100)+COUNTIF($E$100:$K$100,"&gt;"&amp;E100)))</f>
        <v>1</v>
      </c>
      <c r="F101" s="14" cm="1">
        <f t="array" ref="F101">_xlfn.IFS(E101=4,1,E101=3,2,E101=2,3,E101=1,4,E100&lt;$D$100,"Too Fast",E100="DQ","DQ")</f>
        <v>4</v>
      </c>
      <c r="G101" s="9">
        <f>IF(G100="DQ",0,IF(G100&lt;$D$100,0,1+COUNTIFS($E$100:$K$100,"DQ")+COUNTIFS($E$100:$K$100,"&lt;"&amp;$D$100)+COUNTIF($E$100:$K$100,"&gt;"&amp;G100)))</f>
        <v>4</v>
      </c>
      <c r="H101" s="14" cm="1">
        <f t="array" ref="H101">_xlfn.IFS(G101=4,1,G101=3,2,G101=2,3,G101=1,4,G100&lt;$D$100,"Too Fast",G100="DQ","DQ")</f>
        <v>1</v>
      </c>
      <c r="I101" s="9">
        <f>IF(I100="DQ",0,IF(I100&lt;$D$100,0,1+COUNTIFS($E$100:$K$100,"DQ")+COUNTIFS($E$100:$K$100,"&lt;"&amp;$D$100)+COUNTIF($E$100:$K$100,"&gt;"&amp;I100)))</f>
        <v>3</v>
      </c>
      <c r="J101" s="14" cm="1">
        <f t="array" ref="J101">_xlfn.IFS(I101=4,1,I101=3,2,I101=2,3,I101=1,4,I100&lt;$D$100,"Too Fast",I100="DQ","DQ")</f>
        <v>2</v>
      </c>
      <c r="K101" s="9">
        <f>IF(K100="DQ",0,IF(K100&lt;$D$100,0,1+COUNTIFS($E$100:$K$100,"DQ")+COUNTIFS($E$100:$K$100,"&lt;"&amp;$D$100)+COUNTIF($E$100:$K$100,"&gt;"&amp;K100)))</f>
        <v>2</v>
      </c>
      <c r="L101" s="14" cm="1">
        <f t="array" ref="L101">_xlfn.IFS(K101=4,1,K101=3,2,K101=2,3,K101=1,4,K100&lt;$D$100,"Too Fast",K100="DQ","DQ")</f>
        <v>3</v>
      </c>
    </row>
    <row r="102" spans="1:12" x14ac:dyDescent="0.35">
      <c r="A102" s="5">
        <v>47</v>
      </c>
      <c r="B102" s="10" t="s">
        <v>68</v>
      </c>
      <c r="C102" s="2" t="s">
        <v>23</v>
      </c>
      <c r="D102" s="16">
        <v>5.591435185185185E-4</v>
      </c>
      <c r="E102" s="36">
        <v>6.876157407407407E-4</v>
      </c>
      <c r="F102" s="37"/>
      <c r="G102" s="36">
        <v>6.0081018518518513E-4</v>
      </c>
      <c r="H102" s="37"/>
      <c r="I102" s="36">
        <v>6.3182870370370378E-4</v>
      </c>
      <c r="J102" s="37"/>
      <c r="K102" s="36">
        <v>6.1307870370370368E-4</v>
      </c>
      <c r="L102" s="37"/>
    </row>
    <row r="103" spans="1:12" x14ac:dyDescent="0.35">
      <c r="A103" s="7"/>
      <c r="B103" s="8"/>
      <c r="C103" s="4" t="s">
        <v>15</v>
      </c>
      <c r="D103" s="16"/>
      <c r="E103" s="9">
        <f>IF(E102="DQ",0,IF(E102&lt;$D$102,0,1+COUNTIFS($E$102:$K$102,"DQ")+COUNTIFS($E$102:$K$102,"&lt;"&amp;$D$102)+COUNTIF($E$102:$K$102,"&gt;"&amp;E102)))</f>
        <v>1</v>
      </c>
      <c r="F103" s="14" cm="1">
        <f t="array" ref="F103">_xlfn.IFS(E103=4,1,E103=3,2,E103=2,3,E103=1,4,E102&lt;$D$102,"Too Fast",E102="DQ","DQ")</f>
        <v>4</v>
      </c>
      <c r="G103" s="9">
        <f>IF(G102="DQ",0,IF(G102&lt;$D$102,0,1+COUNTIFS($E$102:$K$102,"DQ")+COUNTIFS($E$102:$K$102,"&lt;"&amp;$D$102)+COUNTIF($E$102:$K$102,"&gt;"&amp;G102)))</f>
        <v>4</v>
      </c>
      <c r="H103" s="14" cm="1">
        <f t="array" ref="H103">_xlfn.IFS(G103=4,1,G103=3,2,G103=2,3,G103=1,4,G102&lt;$D$102,"Too Fast",G102="DQ","DQ")</f>
        <v>1</v>
      </c>
      <c r="I103" s="9">
        <f>IF(I102="DQ",0,IF(I102&lt;$D$102,0,1+COUNTIFS($E$102:$K$102,"DQ")+COUNTIFS($E$102:$K$102,"&lt;"&amp;$D$102)+COUNTIF($E$102:$K$102,"&gt;"&amp;I102)))</f>
        <v>2</v>
      </c>
      <c r="J103" s="14" cm="1">
        <f t="array" ref="J103">_xlfn.IFS(I103=4,1,I103=3,2,I103=2,3,I103=1,4,I102&lt;$D$102,"Too Fast",I102="DQ","DQ")</f>
        <v>3</v>
      </c>
      <c r="K103" s="9">
        <f>IF(K102="DQ",0,IF(K102&lt;$D$102,0,1+COUNTIFS($E$102:$K$102,"DQ")+COUNTIFS($E$102:$K$102,"&lt;"&amp;$D$102)+COUNTIF($E$102:$K$102,"&gt;"&amp;K102)))</f>
        <v>3</v>
      </c>
      <c r="L103" s="14" cm="1">
        <f t="array" ref="L103">_xlfn.IFS(K103=4,1,K103=3,2,K103=2,3,K103=1,4,K102&lt;$D$102,"Too Fast",K102="DQ","DQ")</f>
        <v>2</v>
      </c>
    </row>
    <row r="104" spans="1:12" x14ac:dyDescent="0.35">
      <c r="A104" s="5">
        <v>48</v>
      </c>
      <c r="B104" s="10" t="s">
        <v>69</v>
      </c>
      <c r="C104" s="2" t="s">
        <v>23</v>
      </c>
      <c r="D104" s="16">
        <v>5.5000000000000003E-4</v>
      </c>
      <c r="E104" s="36">
        <v>6.5289351851851847E-4</v>
      </c>
      <c r="F104" s="37"/>
      <c r="G104" s="36">
        <v>6.5752314814814818E-4</v>
      </c>
      <c r="H104" s="37"/>
      <c r="I104" s="36">
        <v>7.6134259259259265E-4</v>
      </c>
      <c r="J104" s="37"/>
      <c r="K104" s="36">
        <v>6.2465277777777779E-4</v>
      </c>
      <c r="L104" s="37"/>
    </row>
    <row r="105" spans="1:12" x14ac:dyDescent="0.35">
      <c r="A105" s="7"/>
      <c r="B105" s="8"/>
      <c r="C105" s="4" t="s">
        <v>15</v>
      </c>
      <c r="D105" s="16"/>
      <c r="E105" s="9">
        <f>IF(E104="DQ",0,IF(E104&lt;$D$104,0,1+COUNTIFS($E$104:$K$104,"DQ")+COUNTIFS($E$104:$K$104,"&lt;"&amp;$D$104)+COUNTIF($E$104:$K$104,"&gt;"&amp;E104)))</f>
        <v>3</v>
      </c>
      <c r="F105" s="14" cm="1">
        <f t="array" ref="F105">_xlfn.IFS(E105=4,1,E105=3,2,E105=2,3,E105=1,4,E104&lt;$D$104,"Too Fast",E104="DQ","DQ")</f>
        <v>2</v>
      </c>
      <c r="G105" s="9">
        <f>IF(G104="DQ",0,IF(G104&lt;$D$104,0,1+COUNTIFS($E$104:$K$104,"DQ")+COUNTIFS($E$104:$K$104,"&lt;"&amp;$D$104)+COUNTIF($E$104:$K$104,"&gt;"&amp;G104)))</f>
        <v>2</v>
      </c>
      <c r="H105" s="14" cm="1">
        <f t="array" ref="H105">_xlfn.IFS(G105=4,1,G105=3,2,G105=2,3,G105=1,4,G104&lt;$D$104,"Too Fast",G104="DQ","DQ")</f>
        <v>3</v>
      </c>
      <c r="I105" s="9">
        <f>IF(I104="DQ",0,IF(I104&lt;$D$104,0,1+COUNTIFS($E$104:$K$104,"DQ")+COUNTIFS($E$104:$K$104,"&lt;"&amp;$D$104)+COUNTIF($E$104:$K$104,"&gt;"&amp;I104)))</f>
        <v>1</v>
      </c>
      <c r="J105" s="14" cm="1">
        <f t="array" ref="J105">_xlfn.IFS(I105=4,1,I105=3,2,I105=2,3,I105=1,4,I104&lt;$D$104,"Too Fast",I104="DQ","DQ")</f>
        <v>4</v>
      </c>
      <c r="K105" s="9">
        <f>IF(K104="DQ",0,IF(K104&lt;$D$104,0,1+COUNTIFS($E$104:$K$104,"DQ")+COUNTIFS($E$104:$K$104,"&lt;"&amp;$D$104)+COUNTIF($E$104:$K$104,"&gt;"&amp;K104)))</f>
        <v>4</v>
      </c>
      <c r="L105" s="14" cm="1">
        <f t="array" ref="L105">_xlfn.IFS(K105=4,1,K105=3,2,K105=2,3,K105=1,4,K104&lt;$D$104,"Too Fast",K104="DQ","DQ")</f>
        <v>1</v>
      </c>
    </row>
    <row r="106" spans="1:12" x14ac:dyDescent="0.35">
      <c r="A106" s="5">
        <v>49</v>
      </c>
      <c r="B106" s="10" t="s">
        <v>70</v>
      </c>
      <c r="C106" s="2" t="s">
        <v>44</v>
      </c>
      <c r="D106" s="16">
        <v>1.8150462962962962E-3</v>
      </c>
      <c r="E106" s="36">
        <v>2.0534722222222226E-3</v>
      </c>
      <c r="F106" s="37"/>
      <c r="G106" s="36">
        <v>2.2858796296296295E-3</v>
      </c>
      <c r="H106" s="37"/>
      <c r="I106" s="36">
        <v>2.0526620370370369E-3</v>
      </c>
      <c r="J106" s="37"/>
      <c r="K106" s="36">
        <v>2.3612268518518518E-3</v>
      </c>
      <c r="L106" s="37"/>
    </row>
    <row r="107" spans="1:12" x14ac:dyDescent="0.35">
      <c r="A107" s="8"/>
      <c r="B107" s="8"/>
      <c r="C107" s="4" t="s">
        <v>15</v>
      </c>
      <c r="D107" s="16"/>
      <c r="E107" s="9">
        <f>IF(E106="DQ",0,IF(E106&lt;$D$106,0,1+COUNTIFS($E$106:$K$106,"DQ")+COUNTIFS($E$106:$K$106,"&lt;"&amp;$D$106)+COUNTIF($E$106:$K$106,"&gt;"&amp;E106)))</f>
        <v>3</v>
      </c>
      <c r="F107" s="14" cm="1">
        <f t="array" ref="F107">_xlfn.IFS(E107=4,1,E107=3,2,E107=2,3,E107=1,4,E106&lt;$D$106,"Too Fast",E106="DQ","DQ")</f>
        <v>2</v>
      </c>
      <c r="G107" s="9">
        <f>IF(G106="DQ",0,IF(G106&lt;$D$106,0,1+COUNTIFS($E$106:$K$106,"DQ")+COUNTIFS($E$106:$K$106,"&lt;"&amp;$D$106)+COUNTIF($E$106:$K$106,"&gt;"&amp;G106)))</f>
        <v>2</v>
      </c>
      <c r="H107" s="14" cm="1">
        <f t="array" ref="H107">_xlfn.IFS(G107=4,1,G107=3,2,G107=2,3,G107=1,4,G106&lt;$D$106,"Too Fast",G106="DQ","DQ")</f>
        <v>3</v>
      </c>
      <c r="I107" s="9">
        <f>IF(I106="DQ",0,IF(I106&lt;$D$106,0,1+COUNTIFS($E$106:$K$106,"DQ")+COUNTIFS($E$106:$K$106,"&lt;"&amp;$D$106)+COUNTIF($E$106:$K$106,"&gt;"&amp;I106)))</f>
        <v>4</v>
      </c>
      <c r="J107" s="14" cm="1">
        <f t="array" ref="J107">_xlfn.IFS(I107=4,1,I107=3,2,I107=2,3,I107=1,4,I106&lt;$D$106,"Too Fast",I106="DQ","DQ")</f>
        <v>1</v>
      </c>
      <c r="K107" s="9">
        <f>IF(K106="DQ",0,IF(K106&lt;$D$106,0,1+COUNTIFS($E$106:$K$106,"DQ")+COUNTIFS($E$106:$K$106,"&lt;"&amp;$D$106)+COUNTIF($E$106:$K$106,"&gt;"&amp;K106)))</f>
        <v>1</v>
      </c>
      <c r="L107" s="14" cm="1">
        <f t="array" ref="L107">_xlfn.IFS(K107=4,1,K107=3,2,K107=2,3,K107=1,4,K106&lt;$D$106,"Too Fast",K106="DQ","DQ")</f>
        <v>4</v>
      </c>
    </row>
    <row r="108" spans="1:12" x14ac:dyDescent="0.35">
      <c r="A108" s="5">
        <v>50</v>
      </c>
      <c r="B108" s="10" t="s">
        <v>71</v>
      </c>
      <c r="C108" s="2" t="s">
        <v>44</v>
      </c>
      <c r="D108" s="16">
        <v>1.6682870370370369E-3</v>
      </c>
      <c r="E108" s="36">
        <v>2.1292824074074074E-3</v>
      </c>
      <c r="F108" s="37"/>
      <c r="G108" s="36">
        <v>2.0341435185185185E-3</v>
      </c>
      <c r="H108" s="37"/>
      <c r="I108" s="36">
        <v>2.1740740740740739E-3</v>
      </c>
      <c r="J108" s="37"/>
      <c r="K108" s="36">
        <v>1.9550925925925929E-3</v>
      </c>
      <c r="L108" s="37"/>
    </row>
    <row r="109" spans="1:12" x14ac:dyDescent="0.35">
      <c r="A109" s="7"/>
      <c r="B109" s="8"/>
      <c r="C109" s="4" t="s">
        <v>15</v>
      </c>
      <c r="D109" s="16"/>
      <c r="E109" s="9">
        <f>IF(E108="DQ",0,IF(E108&lt;$D$108,0,1+COUNTIFS($E$108:$K$108,"DQ")+COUNTIFS($E$108:$K$108,"&lt;"&amp;$D$108)+COUNTIF($E$108:$K$108,"&gt;"&amp;E108)))</f>
        <v>2</v>
      </c>
      <c r="F109" s="14" cm="1">
        <f t="array" ref="F109">_xlfn.IFS(E109=4,1,E109=3,2,E109=2,3,E109=1,4,E108&lt;$D$108,"Too Fast",E108="DQ","DQ")</f>
        <v>3</v>
      </c>
      <c r="G109" s="9">
        <f>IF(G108="DQ",0,IF(G108&lt;$D$108,0,1+COUNTIFS($E$108:$K$108,"DQ")+COUNTIFS($E$108:$K$108,"&lt;"&amp;$D$108)+COUNTIF($E$108:$K$108,"&gt;"&amp;G108)))</f>
        <v>3</v>
      </c>
      <c r="H109" s="14" cm="1">
        <f t="array" ref="H109">_xlfn.IFS(G109=4,1,G109=3,2,G109=2,3,G109=1,4,G108&lt;$D$108,"Too Fast",G108="DQ","DQ")</f>
        <v>2</v>
      </c>
      <c r="I109" s="9">
        <f>IF(I108="DQ",0,IF(I108&lt;$D$108,0,1+COUNTIFS($E$108:$K$108,"DQ")+COUNTIFS($E$108:$K$108,"&lt;"&amp;$D$108)+COUNTIF($E$108:$K$108,"&gt;"&amp;I108)))</f>
        <v>1</v>
      </c>
      <c r="J109" s="14" cm="1">
        <f t="array" ref="J109">_xlfn.IFS(I109=4,1,I109=3,2,I109=2,3,I109=1,4,I108&lt;$D$108,"Too Fast",I108="DQ","DQ")</f>
        <v>4</v>
      </c>
      <c r="K109" s="9">
        <f>IF(K108="DQ",0,IF(K108&lt;$D$108,0,1+COUNTIFS($E$108:$K$108,"DQ")+COUNTIFS($E$108:$K$108,"&lt;"&amp;$D$108)+COUNTIF($E$108:$K$108,"&gt;"&amp;K108)))</f>
        <v>4</v>
      </c>
      <c r="L109" s="14" cm="1">
        <f t="array" ref="L109">_xlfn.IFS(K109=4,1,K109=3,2,K109=2,3,K109=1,4,K108&lt;$D$108,"Too Fast",K108="DQ","DQ")</f>
        <v>1</v>
      </c>
    </row>
    <row r="110" spans="1:12" x14ac:dyDescent="0.35">
      <c r="A110" s="5">
        <v>51</v>
      </c>
      <c r="B110" s="10" t="s">
        <v>72</v>
      </c>
      <c r="C110" s="2" t="s">
        <v>44</v>
      </c>
      <c r="D110" s="16">
        <v>1.7907407407407407E-3</v>
      </c>
      <c r="E110" s="36">
        <v>2.0486111111111113E-3</v>
      </c>
      <c r="F110" s="37"/>
      <c r="G110" s="36">
        <v>2.1972222222222224E-3</v>
      </c>
      <c r="H110" s="37"/>
      <c r="I110" s="36">
        <v>2.0087962962962963E-3</v>
      </c>
      <c r="J110" s="37"/>
      <c r="K110" s="36">
        <v>2.2432870370370371E-3</v>
      </c>
      <c r="L110" s="37"/>
    </row>
    <row r="111" spans="1:12" x14ac:dyDescent="0.35">
      <c r="A111" s="7"/>
      <c r="B111" s="8"/>
      <c r="C111" s="4" t="s">
        <v>15</v>
      </c>
      <c r="D111" s="16"/>
      <c r="E111" s="9">
        <f>IF(E110="DQ",0,IF(E110&lt;$D$110,0,1+COUNTIFS($E$110:$K$110,"DQ")+COUNTIFS($E$110:$K$110,"&lt;"&amp;$D$110)+COUNTIF($E$110:$K$110,"&gt;"&amp;E110)))</f>
        <v>3</v>
      </c>
      <c r="F111" s="14" cm="1">
        <f t="array" ref="F111">_xlfn.IFS(E111=4,1,E111=3,2,E111=2,3,E111=1,4,E110&lt;$D$110,"Too Fast",E110="DQ","DQ")</f>
        <v>2</v>
      </c>
      <c r="G111" s="9">
        <f>IF(G110="DQ",0,IF(G110&lt;$D$110,0,1+COUNTIFS($E$110:$K$110,"DQ")+COUNTIFS($E$110:$K$110,"&lt;"&amp;$D$110)+COUNTIF($E$110:$K$110,"&gt;"&amp;G110)))</f>
        <v>2</v>
      </c>
      <c r="H111" s="14" cm="1">
        <f t="array" ref="H111">_xlfn.IFS(G111=4,1,G111=3,2,G111=2,3,G111=1,4,G110&lt;$D$110,"Too Fast",G110="DQ","DQ")</f>
        <v>3</v>
      </c>
      <c r="I111" s="9">
        <f>IF(I110="DQ",0,IF(I110&lt;$D$110,0,1+COUNTIFS($E$110:$K$110,"DQ")+COUNTIFS($E$110:$K$110,"&lt;"&amp;$D$110)+COUNTIF($E$110:$K$110,"&gt;"&amp;I110)))</f>
        <v>4</v>
      </c>
      <c r="J111" s="14" cm="1">
        <f t="array" ref="J111">_xlfn.IFS(I111=4,1,I111=3,2,I111=2,3,I111=1,4,I110&lt;$D$110,"Too Fast",I110="DQ","DQ")</f>
        <v>1</v>
      </c>
      <c r="K111" s="9">
        <f>IF(K110="DQ",0,IF(K110&lt;$D$110,0,1+COUNTIFS($E$110:$K$110,"DQ")+COUNTIFS($E$110:$K$110,"&lt;"&amp;$D$110)+COUNTIF($E$110:$K$110,"&gt;"&amp;K110)))</f>
        <v>1</v>
      </c>
      <c r="L111" s="14" cm="1">
        <f t="array" ref="L111">_xlfn.IFS(K111=4,1,K111=3,2,K111=2,3,K111=1,4,K110&lt;$D$110,"Too Fast",K110="DQ","DQ")</f>
        <v>4</v>
      </c>
    </row>
    <row r="112" spans="1:12" x14ac:dyDescent="0.35">
      <c r="A112" s="5">
        <v>52</v>
      </c>
      <c r="B112" s="10" t="s">
        <v>73</v>
      </c>
      <c r="C112" s="2" t="s">
        <v>44</v>
      </c>
      <c r="D112" s="16">
        <v>1.6343750000000002E-3</v>
      </c>
      <c r="E112" s="36">
        <v>2.10775462962963E-3</v>
      </c>
      <c r="F112" s="37"/>
      <c r="G112" s="36">
        <v>1.8630787037037036E-3</v>
      </c>
      <c r="H112" s="37"/>
      <c r="I112" s="36">
        <v>1.8453703703703703E-3</v>
      </c>
      <c r="J112" s="37"/>
      <c r="K112" s="36">
        <v>1.8798611111111112E-3</v>
      </c>
      <c r="L112" s="37"/>
    </row>
    <row r="113" spans="1:12" x14ac:dyDescent="0.35">
      <c r="A113" s="7"/>
      <c r="B113" s="8"/>
      <c r="C113" s="4" t="s">
        <v>15</v>
      </c>
      <c r="D113" s="16"/>
      <c r="E113" s="9">
        <f>IF(E112="DQ",0,IF(E112&lt;$D$112,0,1+COUNTIFS($E$112:$K$112,"DQ")+COUNTIFS($E$112:$K$112,"&lt;"&amp;$D$112)+COUNTIF($E$112:$K$112,"&gt;"&amp;E112)))</f>
        <v>1</v>
      </c>
      <c r="F113" s="14" cm="1">
        <f t="array" ref="F113">_xlfn.IFS(E113=4,1,E113=3,2,E113=2,3,E113=1,4,E112&lt;$D$112,"Too Fast",E112="DQ","DQ")</f>
        <v>4</v>
      </c>
      <c r="G113" s="9">
        <f>IF(G112="DQ",0,IF(G112&lt;$D$112,0,1+COUNTIFS($E$112:$K$112,"DQ")+COUNTIFS($E$112:$K$112,"&lt;"&amp;$D$112)+COUNTIF($E$112:$K$112,"&gt;"&amp;G112)))</f>
        <v>3</v>
      </c>
      <c r="H113" s="14" cm="1">
        <f t="array" ref="H113">_xlfn.IFS(G113=4,1,G113=3,2,G113=2,3,G113=1,4,G112&lt;$D$112,"Too Fast",G112="DQ","DQ")</f>
        <v>2</v>
      </c>
      <c r="I113" s="9">
        <f>IF(I112="DQ",0,IF(I112&lt;$D$112,0,1+COUNTIFS($E$112:$K$112,"DQ")+COUNTIFS($E$112:$K$112,"&lt;"&amp;$D$112)+COUNTIF($E$112:$K$112,"&gt;"&amp;I112)))</f>
        <v>4</v>
      </c>
      <c r="J113" s="14" cm="1">
        <f t="array" ref="J113">_xlfn.IFS(I113=4,1,I113=3,2,I113=2,3,I113=1,4,I112&lt;$D$112,"Too Fast",I112="DQ","DQ")</f>
        <v>1</v>
      </c>
      <c r="K113" s="9">
        <f>IF(K112="DQ",0,IF(K112&lt;$D$112,0,1+COUNTIFS($E$112:$K$112,"DQ")+COUNTIFS($E$112:$K$112,"&lt;"&amp;$D$112)+COUNTIF($E$112:$K$112,"&gt;"&amp;K112)))</f>
        <v>2</v>
      </c>
      <c r="L113" s="14" cm="1">
        <f t="array" ref="L113">_xlfn.IFS(K113=4,1,K113=3,2,K113=2,3,K113=1,4,K112&lt;$D$112,"Too Fast",K112="DQ","DQ")</f>
        <v>3</v>
      </c>
    </row>
    <row r="114" spans="1:12" x14ac:dyDescent="0.35">
      <c r="A114" s="5">
        <v>53</v>
      </c>
      <c r="B114" s="10" t="s">
        <v>74</v>
      </c>
      <c r="C114" s="2" t="s">
        <v>44</v>
      </c>
      <c r="D114" s="25">
        <v>6.8287037037037025E-4</v>
      </c>
      <c r="E114" s="36">
        <v>1.9339120370370372E-3</v>
      </c>
      <c r="F114" s="37"/>
      <c r="G114" s="36">
        <v>1.9194444444444445E-3</v>
      </c>
      <c r="H114" s="37"/>
      <c r="I114" s="36">
        <v>1.9230324074074074E-3</v>
      </c>
      <c r="J114" s="37"/>
      <c r="K114" s="36">
        <v>2.0537037037037039E-3</v>
      </c>
      <c r="L114" s="37"/>
    </row>
    <row r="115" spans="1:12" x14ac:dyDescent="0.35">
      <c r="A115" s="8"/>
      <c r="B115" s="8"/>
      <c r="C115" s="4" t="s">
        <v>15</v>
      </c>
      <c r="D115" s="16"/>
      <c r="E115" s="9">
        <f>IF(E114="DQ",0,IF(E114&lt;$D$114,0,1+COUNTIFS($E$114:$K$114,"DQ")+COUNTIFS($E$114:$K$114,"&lt;"&amp;$D$114)+COUNTIF($E$114:$K$114,"&gt;"&amp;E114)))</f>
        <v>2</v>
      </c>
      <c r="F115" s="14" cm="1">
        <f t="array" ref="F115">_xlfn.IFS(E115=4,1,E115=3,2,E115=2,3,E115=1,4,E114&lt;$D$114,"Too Fast",E114="DQ","DQ")</f>
        <v>3</v>
      </c>
      <c r="G115" s="9">
        <f>IF(G114="DQ",0,IF(G114&lt;$D$114,0,1+COUNTIFS($E$114:$K$114,"DQ")+COUNTIFS($E$114:$K$114,"&lt;"&amp;$D$114)+COUNTIF($E$114:$K$114,"&gt;"&amp;G114)))</f>
        <v>4</v>
      </c>
      <c r="H115" s="14" cm="1">
        <f t="array" ref="H115">_xlfn.IFS(G115=4,1,G115=3,2,G115=2,3,G115=1,4,G114&lt;$D$114,"Too Fast",G114="DQ","DQ")</f>
        <v>1</v>
      </c>
      <c r="I115" s="9">
        <f>IF(I114="DQ",0,IF(I114&lt;$D$114,0,1+COUNTIFS($E$114:$K$114,"DQ")+COUNTIFS($E$114:$K$114,"&lt;"&amp;$D$114)+COUNTIF($E$114:$K$114,"&gt;"&amp;I114)))</f>
        <v>3</v>
      </c>
      <c r="J115" s="14" cm="1">
        <f t="array" ref="J115">_xlfn.IFS(I115=4,1,I115=3,2,I115=2,3,I115=1,4,I114&lt;$D$114,"Too Fast",I114="DQ","DQ")</f>
        <v>2</v>
      </c>
      <c r="K115" s="9">
        <f>IF(K114="DQ",0,IF(K114&lt;$D$114,0,1+COUNTIFS($E$114:$K$114,"DQ")+COUNTIFS($E$114:$K$114,"&lt;"&amp;$D$114)+COUNTIF($E$114:$K$114,"&gt;"&amp;K114)))</f>
        <v>1</v>
      </c>
      <c r="L115" s="14" cm="1">
        <f t="array" ref="L115">_xlfn.IFS(K115=4,1,K115=3,2,K115=2,3,K115=1,4,K114&lt;$D$114,"Too Fast",K114="DQ","DQ")</f>
        <v>4</v>
      </c>
    </row>
    <row r="116" spans="1:12" x14ac:dyDescent="0.35">
      <c r="A116" s="18"/>
      <c r="B116" s="12" t="s">
        <v>75</v>
      </c>
      <c r="C116" s="18"/>
      <c r="D116" s="18"/>
      <c r="E116" s="19">
        <f>E89+E91+E93+E95+E97+E99+E101+E103+E105+E107+E109+E111+E113+E115</f>
        <v>118</v>
      </c>
      <c r="F116" s="19"/>
      <c r="G116" s="19">
        <f t="shared" ref="G116:K116" si="34">G89+G91+G93+G95+G97+G99+G101+G103+G105+G107+G109+G111+G113+G115</f>
        <v>120</v>
      </c>
      <c r="H116" s="19"/>
      <c r="I116" s="19">
        <f t="shared" si="34"/>
        <v>155</v>
      </c>
      <c r="J116" s="19"/>
      <c r="K116" s="19">
        <f t="shared" si="34"/>
        <v>122</v>
      </c>
      <c r="L116" s="18"/>
    </row>
  </sheetData>
  <mergeCells count="228">
    <mergeCell ref="E114:F114"/>
    <mergeCell ref="G114:H114"/>
    <mergeCell ref="I114:J114"/>
    <mergeCell ref="K114:L114"/>
    <mergeCell ref="E110:F110"/>
    <mergeCell ref="G110:H110"/>
    <mergeCell ref="I110:J110"/>
    <mergeCell ref="K110:L110"/>
    <mergeCell ref="E112:F112"/>
    <mergeCell ref="G112:H112"/>
    <mergeCell ref="I112:J112"/>
    <mergeCell ref="K112:L112"/>
    <mergeCell ref="E106:F106"/>
    <mergeCell ref="G106:H106"/>
    <mergeCell ref="I106:J106"/>
    <mergeCell ref="K106:L106"/>
    <mergeCell ref="E108:F108"/>
    <mergeCell ref="G108:H108"/>
    <mergeCell ref="I108:J108"/>
    <mergeCell ref="K108:L108"/>
    <mergeCell ref="E102:F102"/>
    <mergeCell ref="G102:H102"/>
    <mergeCell ref="I102:J102"/>
    <mergeCell ref="K102:L102"/>
    <mergeCell ref="E104:F104"/>
    <mergeCell ref="G104:H104"/>
    <mergeCell ref="I104:J104"/>
    <mergeCell ref="K104:L104"/>
    <mergeCell ref="E98:F98"/>
    <mergeCell ref="G98:H98"/>
    <mergeCell ref="I98:J98"/>
    <mergeCell ref="K98:L98"/>
    <mergeCell ref="E100:F100"/>
    <mergeCell ref="G100:H100"/>
    <mergeCell ref="I100:J100"/>
    <mergeCell ref="K100:L100"/>
    <mergeCell ref="E94:F94"/>
    <mergeCell ref="G94:H94"/>
    <mergeCell ref="I94:J94"/>
    <mergeCell ref="K94:L94"/>
    <mergeCell ref="E96:F96"/>
    <mergeCell ref="G96:H96"/>
    <mergeCell ref="I96:J96"/>
    <mergeCell ref="K96:L96"/>
    <mergeCell ref="E90:F90"/>
    <mergeCell ref="G90:H90"/>
    <mergeCell ref="I90:J90"/>
    <mergeCell ref="K90:L90"/>
    <mergeCell ref="E92:F92"/>
    <mergeCell ref="G92:H92"/>
    <mergeCell ref="I92:J92"/>
    <mergeCell ref="K92:L92"/>
    <mergeCell ref="E85:F85"/>
    <mergeCell ref="G85:H85"/>
    <mergeCell ref="I85:J85"/>
    <mergeCell ref="K85:L85"/>
    <mergeCell ref="E87:F87"/>
    <mergeCell ref="G87:H87"/>
    <mergeCell ref="I87:J87"/>
    <mergeCell ref="K87:L87"/>
    <mergeCell ref="E81:F81"/>
    <mergeCell ref="G81:H81"/>
    <mergeCell ref="I81:J81"/>
    <mergeCell ref="K81:L81"/>
    <mergeCell ref="E83:F83"/>
    <mergeCell ref="G83:H83"/>
    <mergeCell ref="I83:J83"/>
    <mergeCell ref="K83:L83"/>
    <mergeCell ref="E77:F77"/>
    <mergeCell ref="G77:H77"/>
    <mergeCell ref="I77:J77"/>
    <mergeCell ref="K77:L77"/>
    <mergeCell ref="E79:F79"/>
    <mergeCell ref="G79:H79"/>
    <mergeCell ref="I79:J79"/>
    <mergeCell ref="K79:L79"/>
    <mergeCell ref="E73:F73"/>
    <mergeCell ref="G73:H73"/>
    <mergeCell ref="I73:J73"/>
    <mergeCell ref="K73:L73"/>
    <mergeCell ref="E75:F75"/>
    <mergeCell ref="G75:H75"/>
    <mergeCell ref="I75:J75"/>
    <mergeCell ref="K75:L75"/>
    <mergeCell ref="E69:F69"/>
    <mergeCell ref="G69:H69"/>
    <mergeCell ref="I69:J69"/>
    <mergeCell ref="K69:L69"/>
    <mergeCell ref="E71:F71"/>
    <mergeCell ref="G71:H71"/>
    <mergeCell ref="I71:J71"/>
    <mergeCell ref="K71:L71"/>
    <mergeCell ref="E64:F64"/>
    <mergeCell ref="G64:H64"/>
    <mergeCell ref="I64:J64"/>
    <mergeCell ref="K64:L64"/>
    <mergeCell ref="E66:F66"/>
    <mergeCell ref="G66:H66"/>
    <mergeCell ref="I66:J66"/>
    <mergeCell ref="K66:L66"/>
    <mergeCell ref="E60:F60"/>
    <mergeCell ref="G60:H60"/>
    <mergeCell ref="I60:J60"/>
    <mergeCell ref="K60:L60"/>
    <mergeCell ref="E62:F62"/>
    <mergeCell ref="G62:H62"/>
    <mergeCell ref="I62:J62"/>
    <mergeCell ref="K62:L62"/>
    <mergeCell ref="E56:F56"/>
    <mergeCell ref="G56:H56"/>
    <mergeCell ref="I56:J56"/>
    <mergeCell ref="K56:L56"/>
    <mergeCell ref="E58:F58"/>
    <mergeCell ref="G58:H58"/>
    <mergeCell ref="I58:J58"/>
    <mergeCell ref="K58:L58"/>
    <mergeCell ref="E52:F52"/>
    <mergeCell ref="G52:H52"/>
    <mergeCell ref="I52:J52"/>
    <mergeCell ref="K52:L52"/>
    <mergeCell ref="E54:F54"/>
    <mergeCell ref="G54:H54"/>
    <mergeCell ref="I54:J54"/>
    <mergeCell ref="K54:L54"/>
    <mergeCell ref="E48:F48"/>
    <mergeCell ref="G48:H48"/>
    <mergeCell ref="I48:J48"/>
    <mergeCell ref="K48:L48"/>
    <mergeCell ref="E50:F50"/>
    <mergeCell ref="G50:H50"/>
    <mergeCell ref="I50:J50"/>
    <mergeCell ref="K50:L50"/>
    <mergeCell ref="E43:F43"/>
    <mergeCell ref="G43:H43"/>
    <mergeCell ref="I43:J43"/>
    <mergeCell ref="K43:L43"/>
    <mergeCell ref="E45:F45"/>
    <mergeCell ref="G45:H45"/>
    <mergeCell ref="I45:J45"/>
    <mergeCell ref="K45:L45"/>
    <mergeCell ref="E39:F39"/>
    <mergeCell ref="G39:H39"/>
    <mergeCell ref="I39:J39"/>
    <mergeCell ref="K39:L39"/>
    <mergeCell ref="E41:F41"/>
    <mergeCell ref="G41:H41"/>
    <mergeCell ref="I41:J41"/>
    <mergeCell ref="K41:L41"/>
    <mergeCell ref="E35:F35"/>
    <mergeCell ref="G35:H35"/>
    <mergeCell ref="I35:J35"/>
    <mergeCell ref="K35:L35"/>
    <mergeCell ref="E37:F37"/>
    <mergeCell ref="G37:H37"/>
    <mergeCell ref="I37:J37"/>
    <mergeCell ref="K37:L37"/>
    <mergeCell ref="E31:F31"/>
    <mergeCell ref="G31:H31"/>
    <mergeCell ref="I31:J31"/>
    <mergeCell ref="K31:L31"/>
    <mergeCell ref="E33:F33"/>
    <mergeCell ref="G33:H33"/>
    <mergeCell ref="I33:J33"/>
    <mergeCell ref="K33:L33"/>
    <mergeCell ref="E27:F27"/>
    <mergeCell ref="G27:H27"/>
    <mergeCell ref="I27:J27"/>
    <mergeCell ref="K27:L27"/>
    <mergeCell ref="E29:F29"/>
    <mergeCell ref="G29:H29"/>
    <mergeCell ref="I29:J29"/>
    <mergeCell ref="K29:L29"/>
    <mergeCell ref="E22:F22"/>
    <mergeCell ref="G22:H22"/>
    <mergeCell ref="I22:J22"/>
    <mergeCell ref="K22:L22"/>
    <mergeCell ref="E24:F24"/>
    <mergeCell ref="G24:H24"/>
    <mergeCell ref="I24:J24"/>
    <mergeCell ref="K24:L24"/>
    <mergeCell ref="E18:F18"/>
    <mergeCell ref="G18:H18"/>
    <mergeCell ref="I18:J18"/>
    <mergeCell ref="K18:L18"/>
    <mergeCell ref="E20:F20"/>
    <mergeCell ref="G20:H20"/>
    <mergeCell ref="I20:J20"/>
    <mergeCell ref="K20:L20"/>
    <mergeCell ref="E14:F14"/>
    <mergeCell ref="G14:H14"/>
    <mergeCell ref="I14:J14"/>
    <mergeCell ref="K14:L14"/>
    <mergeCell ref="E16:F16"/>
    <mergeCell ref="G16:H16"/>
    <mergeCell ref="I16:J16"/>
    <mergeCell ref="K16:L16"/>
    <mergeCell ref="E10:F10"/>
    <mergeCell ref="G10:H10"/>
    <mergeCell ref="I10:J10"/>
    <mergeCell ref="K10:L10"/>
    <mergeCell ref="E12:F12"/>
    <mergeCell ref="G12:H12"/>
    <mergeCell ref="I12:J12"/>
    <mergeCell ref="K12:L12"/>
    <mergeCell ref="E8:F8"/>
    <mergeCell ref="G8:H8"/>
    <mergeCell ref="I8:J8"/>
    <mergeCell ref="K8:L8"/>
    <mergeCell ref="I4:J4"/>
    <mergeCell ref="K4:L4"/>
    <mergeCell ref="E5:F5"/>
    <mergeCell ref="G5:H5"/>
    <mergeCell ref="I5:J5"/>
    <mergeCell ref="K5:L5"/>
    <mergeCell ref="A1:K1"/>
    <mergeCell ref="P6:W6"/>
    <mergeCell ref="A3:C4"/>
    <mergeCell ref="D3:D4"/>
    <mergeCell ref="E3:F3"/>
    <mergeCell ref="G3:H3"/>
    <mergeCell ref="I3:J3"/>
    <mergeCell ref="K3:L3"/>
    <mergeCell ref="E4:F4"/>
    <mergeCell ref="G4:H4"/>
    <mergeCell ref="E6:F6"/>
    <mergeCell ref="G6:H6"/>
    <mergeCell ref="I6:J6"/>
    <mergeCell ref="K6:L6"/>
  </mergeCells>
  <conditionalFormatting sqref="E6:L114">
    <cfRule type="containsText" dxfId="2" priority="5" operator="containsText" text="02.">
      <formula>NOT(ISERROR(SEARCH("02.",E6)))</formula>
    </cfRule>
    <cfRule type="containsText" dxfId="1" priority="6" operator="containsText" text="01.">
      <formula>NOT(ISERROR(SEARCH("01.",E6)))</formula>
    </cfRule>
    <cfRule type="containsText" dxfId="0" priority="7" operator="containsText" text="00.">
      <formula>NOT(ISERROR(SEARCH("00.",E6)))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EA0B1BC3F8914CB0B2B2AC13F4330E" ma:contentTypeVersion="11" ma:contentTypeDescription="Create a new document." ma:contentTypeScope="" ma:versionID="67bcb7d460ae8f391986cfc74d8d0bf7">
  <xsd:schema xmlns:xsd="http://www.w3.org/2001/XMLSchema" xmlns:xs="http://www.w3.org/2001/XMLSchema" xmlns:p="http://schemas.microsoft.com/office/2006/metadata/properties" xmlns:ns3="2faac36f-392f-4560-8ae3-7abe1c6a6f37" xmlns:ns4="21659fb7-c5d5-460e-b16a-8a7c694d4b45" targetNamespace="http://schemas.microsoft.com/office/2006/metadata/properties" ma:root="true" ma:fieldsID="c09f243d1e46f622317d81be17e77b21" ns3:_="" ns4:_="">
    <xsd:import namespace="2faac36f-392f-4560-8ae3-7abe1c6a6f37"/>
    <xsd:import namespace="21659fb7-c5d5-460e-b16a-8a7c694d4b4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aac36f-392f-4560-8ae3-7abe1c6a6f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659fb7-c5d5-460e-b16a-8a7c694d4b4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CE733D5-7AC6-408A-8F88-293A2E4EA9C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CC9B6AA-BDC7-4406-BD46-ADA90E2528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aac36f-392f-4560-8ae3-7abe1c6a6f37"/>
    <ds:schemaRef ds:uri="21659fb7-c5d5-460e-b16a-8a7c694d4b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6F25427-A622-41D2-BFFD-822A3E7F1448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79837152-0458-48CD-894A-61B6E8BFE21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NO-TEAMS 04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Cotswold Gala Results Calculator MASTER</dc:title>
  <dc:subject/>
  <dc:creator>lewisplume@outlook.com</dc:creator>
  <cp:keywords/>
  <dc:description/>
  <cp:lastModifiedBy>Lewis Plume</cp:lastModifiedBy>
  <cp:revision/>
  <dcterms:created xsi:type="dcterms:W3CDTF">2019-11-07T20:01:16Z</dcterms:created>
  <dcterms:modified xsi:type="dcterms:W3CDTF">2026-02-14T18:54:19Z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0x01010016EA0B1BC3F8914CB0B2B2AC13F4330E</vt:lpwstr>
  </property>
</Properties>
</file>