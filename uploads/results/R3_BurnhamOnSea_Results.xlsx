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3\"/>
    </mc:Choice>
  </mc:AlternateContent>
  <xr:revisionPtr revIDLastSave="0" documentId="8_{7EA165DC-46AC-4950-82BD-2C62FF58EDFF}" xr6:coauthVersionLast="47" xr6:coauthVersionMax="47" xr10:uidLastSave="{00000000-0000-0000-0000-000000000000}"/>
  <bookViews>
    <workbookView xWindow="-110" yWindow="-110" windowWidth="22780" windowHeight="1454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definedNames>
    <definedName name="_xlnm.Print_Area" localSheetId="3">'NO-TEAMS 04'!$A$1:$L$116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Z5" i="4" s="1"/>
  <c r="E32" i="4"/>
  <c r="F32" i="4" s="1" a="1"/>
  <c r="F32" i="4" s="1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 s="1"/>
  <c r="G47" i="4" s="1"/>
  <c r="G68" i="4" s="1"/>
  <c r="G89" i="4" s="1"/>
  <c r="G116" i="4" s="1"/>
  <c r="AC5" i="4" s="1"/>
  <c r="H7" i="4" a="1"/>
  <c r="H7" i="4"/>
  <c r="I7" i="4"/>
  <c r="J7" i="4" s="1" a="1"/>
  <c r="J7" i="4" s="1"/>
  <c r="K7" i="4"/>
  <c r="L7" i="4" s="1" a="1"/>
  <c r="L7" i="4" s="1"/>
  <c r="M7" i="4"/>
  <c r="M26" i="4" s="1"/>
  <c r="M47" i="4" s="1"/>
  <c r="M68" i="4" s="1"/>
  <c r="M89" i="4" s="1"/>
  <c r="M116" i="4" s="1"/>
  <c r="AC8" i="4" s="1"/>
  <c r="O7" i="4"/>
  <c r="O26" i="4" s="1"/>
  <c r="O47" i="4" s="1"/>
  <c r="O68" i="4" s="1"/>
  <c r="O89" i="4" s="1"/>
  <c r="O116" i="4" s="1"/>
  <c r="AC9" i="4" s="1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E26" i="4" s="1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H67" i="3" a="1"/>
  <c r="H67" i="3" s="1"/>
  <c r="G67" i="3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a="1"/>
  <c r="L46" i="3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 s="1"/>
  <c r="K116" i="4" s="1"/>
  <c r="AC7" i="4" s="1"/>
  <c r="I26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U5" i="4" l="1"/>
  <c r="E47" i="4"/>
  <c r="E68" i="4" s="1"/>
  <c r="E89" i="4" s="1"/>
  <c r="E116" i="4" s="1"/>
  <c r="AC4" i="4" s="1"/>
  <c r="I47" i="4"/>
  <c r="I68" i="4" s="1"/>
  <c r="I89" i="4" s="1"/>
  <c r="I116" i="4" s="1"/>
  <c r="AC6" i="4" s="1"/>
  <c r="V7" i="4"/>
  <c r="W7" i="4"/>
  <c r="AA7" i="4"/>
  <c r="AB7" i="4"/>
  <c r="Y7" i="4"/>
  <c r="N7" i="4" a="1"/>
  <c r="N7" i="4" s="1"/>
  <c r="AB8" i="4" s="1"/>
  <c r="W8" i="4"/>
  <c r="Y6" i="4"/>
  <c r="Z6" i="4"/>
  <c r="W6" i="4"/>
  <c r="AB6" i="4"/>
  <c r="X6" i="4"/>
  <c r="AA6" i="4"/>
  <c r="U6" i="4"/>
  <c r="V6" i="4"/>
  <c r="AA5" i="4"/>
  <c r="X5" i="4"/>
  <c r="Z7" i="4"/>
  <c r="W5" i="4"/>
  <c r="U7" i="4"/>
  <c r="X7" i="4"/>
  <c r="V5" i="4"/>
  <c r="AB5" i="4"/>
  <c r="F7" i="4" a="1"/>
  <c r="F7" i="4" s="1"/>
  <c r="P7" i="4" a="1"/>
  <c r="P7" i="4" s="1"/>
  <c r="Y5" i="4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K26" i="1"/>
  <c r="K47" i="1" s="1"/>
  <c r="K68" i="1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U8" i="4" l="1"/>
  <c r="AA8" i="4"/>
  <c r="Y8" i="4"/>
  <c r="Z8" i="4"/>
  <c r="X8" i="4"/>
  <c r="V8" i="4"/>
  <c r="W9" i="4"/>
  <c r="Z9" i="4"/>
  <c r="X9" i="4"/>
  <c r="AA9" i="4"/>
  <c r="AB9" i="4"/>
  <c r="V9" i="4"/>
  <c r="Y9" i="4"/>
  <c r="U9" i="4"/>
  <c r="AA4" i="4"/>
  <c r="AB4" i="4"/>
  <c r="U4" i="4"/>
  <c r="Y4" i="4"/>
  <c r="V4" i="4"/>
  <c r="W4" i="4"/>
  <c r="X4" i="4"/>
  <c r="Z4" i="4"/>
  <c r="W8" i="3"/>
  <c r="T8" i="3"/>
  <c r="U8" i="3"/>
  <c r="V8" i="3"/>
  <c r="S8" i="3"/>
  <c r="U9" i="3"/>
  <c r="R9" i="3"/>
  <c r="S9" i="3"/>
  <c r="T9" i="3"/>
  <c r="W9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Somerset ASA</author>
  </authors>
  <commentList>
    <comment ref="K37" authorId="0" shapeId="0" xr:uid="{95E05569-EE11-426A-88DE-25394C2C01E8}">
      <text>
        <r>
          <rPr>
            <b/>
            <sz val="9"/>
            <color indexed="81"/>
            <rFont val="Tahoma"/>
            <charset val="1"/>
          </rPr>
          <t>Somerset ASA:</t>
        </r>
        <r>
          <rPr>
            <sz val="9"/>
            <color indexed="81"/>
            <rFont val="Tahoma"/>
            <charset val="1"/>
          </rPr>
          <t xml:space="preserve">
10.12 DQ
</t>
        </r>
      </text>
    </comment>
    <comment ref="G81" authorId="0" shapeId="0" xr:uid="{14C4BCC8-A45D-4B21-9556-F06942A02613}">
      <text>
        <r>
          <rPr>
            <b/>
            <sz val="9"/>
            <color indexed="81"/>
            <rFont val="Tahoma"/>
            <charset val="1"/>
          </rPr>
          <t>Somerset ASA:</t>
        </r>
        <r>
          <rPr>
            <sz val="9"/>
            <color indexed="81"/>
            <rFont val="Tahoma"/>
            <charset val="1"/>
          </rPr>
          <t xml:space="preserve">
4.4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<sst xmlns="http://schemas.openxmlformats.org/spreadsheetml/2006/main" count="1355" uniqueCount="107">
  <si>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</si>
  <si>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</si>
  <si>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</si>
  <si>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</si>
  <si>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</si>
  <si>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</si>
  <si>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</si>
  <si>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</si>
  <si>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</si>
  <si>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</si>
  <si>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</si>
  <si>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</si>
  <si>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</si>
  <si>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</si>
  <si>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</si>
  <si>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</si>
  <si>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</si>
  <si>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</si>
  <si>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</si>
  <si>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</si>
  <si>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</si>
  <si>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</si>
  <si>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</si>
  <si>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</si>
  <si>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</si>
  <si>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</si>
  <si>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</si>
  <si>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</si>
  <si>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</si>
  <si>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</si>
  <si>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</si>
  <si>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</si>
  <si>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</si>
  <si>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</si>
  <si>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</si>
  <si>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</si>
  <si>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</si>
  <si>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</si>
  <si>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</si>
  <si>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</si>
  <si>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</si>
  <si>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</si>
  <si>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</si>
  <si>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</si>
  <si>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</si>
  <si>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</si>
  <si>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</si>
  <si>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</si>
  <si>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</si>
  <si>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</si>
  <si>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</si>
  <si>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</si>
  <si>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</si>
  <si>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</si>
  <si>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</si>
  <si>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</si>
  <si>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</si>
  <si>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</si>
  <si>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</si>
  <si>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</si>
  <si>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</si>
  <si>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</si>
  <si>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</si>
  <si>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</si>
  <si>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</si>
  <si>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</si>
  <si>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</si>
  <si>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</si>
  <si>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</si>
  <si>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</si>
  <si>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</si>
  <si>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</si>
  <si>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</si>
  <si>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</si>
  <si>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</si>
  <si>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</si>
  <si>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</si>
  <si>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</si>
  <si>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</si>
  <si>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</si>
  <si>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</si>
  <si>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Cotswold Gala - Results Calculator</t>
  </si>
  <si>
    <t>Lane 4</t>
  </si>
  <si>
    <t>Results Summary - Don't type in cells here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</si>
  <si>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</si>
  <si>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</si>
  <si>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</si>
  <si>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</si>
  <si>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</si>
  <si>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</si>
  <si>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</si>
  <si>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</si>
  <si>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</si>
  <si>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</si>
  <si>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</si>
  <si>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</si>
  <si>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</si>
  <si>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</si>
  <si>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</si>
  <si>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</si>
  <si>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</si>
  <si>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Backwell</t>
  </si>
  <si>
    <t>B-O-S</t>
  </si>
  <si>
    <t>Yeovil</t>
  </si>
  <si>
    <t>Sevenside</t>
  </si>
  <si>
    <t>DQ</t>
  </si>
  <si>
    <t>Errors Race 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</si>
</sst>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9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145143</xdr:rowOff>
    </xdr:from>
    <xdr:to>
      <xdr:col>26</xdr:col>
      <xdr:colOff>112484</xdr:colOff>
      <xdr:row>38</xdr:row>
      <xdr:rowOff>108857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6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562428</xdr:colOff>
      <xdr:row>39</xdr:row>
      <xdr:rowOff>145142</xdr:rowOff>
    </xdr:from>
    <xdr:to>
      <xdr:col>19</xdr:col>
      <xdr:colOff>190499</xdr:colOff>
      <xdr:row>41</xdr:row>
      <xdr:rowOff>125185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824857" y="7275285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628649</xdr:colOff>
      <xdr:row>39</xdr:row>
      <xdr:rowOff>151492</xdr:rowOff>
    </xdr:from>
    <xdr:to>
      <xdr:col>21</xdr:col>
      <xdr:colOff>256721</xdr:colOff>
      <xdr:row>41</xdr:row>
      <xdr:rowOff>131535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469506" y="7281635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Save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the file immediately as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[Host Team Name] Results 2026</a:t>
          </a:r>
          <a:endParaRPr kumimoji="0" lang="en-GB" sz="12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Email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to </a:t>
          </a: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admin@thecotswoldleague.co.uk</a:t>
          </a: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before leaving the pool.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File &gt; Share &gt; Send A Copy</a:t>
          </a:r>
        </a:p>
      </xdr:txBody>
    </xdr:sp>
    <xdr:clientData/>
  </xdr:twoCellAnchor>
  <xdr:twoCellAnchor>
    <xdr:from>
      <xdr:col>20</xdr:col>
      <xdr:colOff>539751</xdr:colOff>
      <xdr:row>37</xdr:row>
      <xdr:rowOff>8162</xdr:rowOff>
    </xdr:from>
    <xdr:to>
      <xdr:col>22</xdr:col>
      <xdr:colOff>322037</xdr:colOff>
      <xdr:row>38</xdr:row>
      <xdr:rowOff>169634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587108" y="677544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7258</xdr:colOff>
      <xdr:row>37</xdr:row>
      <xdr:rowOff>14512</xdr:rowOff>
    </xdr:from>
    <xdr:to>
      <xdr:col>24</xdr:col>
      <xdr:colOff>460829</xdr:colOff>
      <xdr:row>38</xdr:row>
      <xdr:rowOff>175984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31758" y="678179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17</xdr:col>
      <xdr:colOff>95250</xdr:colOff>
      <xdr:row>9</xdr:row>
      <xdr:rowOff>53522</xdr:rowOff>
    </xdr:from>
    <xdr:to>
      <xdr:col>29</xdr:col>
      <xdr:colOff>144236</xdr:colOff>
      <xdr:row>36</xdr:row>
      <xdr:rowOff>17236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C4D8A-AA41-4BEB-B322-0574D3156CA1}"/>
            </a:ext>
          </a:extLst>
        </xdr:cNvPr>
        <xdr:cNvSpPr/>
      </xdr:nvSpPr>
      <xdr:spPr>
        <a:xfrm>
          <a:off x="13230679" y="1740808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431265</xdr:colOff>
      <xdr:row>38</xdr:row>
      <xdr:rowOff>152427</xdr:rowOff>
    </xdr:from>
    <xdr:to>
      <xdr:col>27</xdr:col>
      <xdr:colOff>117929</xdr:colOff>
      <xdr:row>40</xdr:row>
      <xdr:rowOff>120573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19991347" y="732480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27</xdr:col>
      <xdr:colOff>556079</xdr:colOff>
      <xdr:row>38</xdr:row>
      <xdr:rowOff>158777</xdr:rowOff>
    </xdr:from>
    <xdr:to>
      <xdr:col>29</xdr:col>
      <xdr:colOff>180284</xdr:colOff>
      <xdr:row>40</xdr:row>
      <xdr:rowOff>126923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1635997" y="733115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22</xdr:col>
      <xdr:colOff>426803</xdr:colOff>
      <xdr:row>11</xdr:row>
      <xdr:rowOff>176967</xdr:rowOff>
    </xdr:from>
    <xdr:to>
      <xdr:col>33</xdr:col>
      <xdr:colOff>209743</xdr:colOff>
      <xdr:row>37</xdr:row>
      <xdr:rowOff>167449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CF7FED-B272-43CF-B4FC-301E9C1B2761}"/>
            </a:ext>
          </a:extLst>
        </xdr:cNvPr>
        <xdr:cNvSpPr/>
      </xdr:nvSpPr>
      <xdr:spPr>
        <a:xfrm>
          <a:off x="16634918" y="2290164"/>
          <a:ext cx="9401628" cy="48622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089843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8" width="10.08984375" customWidth="1"/>
    <col min="9" max="10" width="3.453125" customWidth="1"/>
    <col min="11" max="11" width="14.36328125" customWidth="1"/>
    <col min="12" max="12" width="24" customWidth="1"/>
    <col min="13" max="13" width="9.54296875" bestFit="1" customWidth="1"/>
    <col min="14" max="14" width="10.453125" bestFit="1" customWidth="1"/>
    <col min="15" max="15" width="7.54296875" customWidth="1"/>
    <col min="18" max="18" width="11.08984375" customWidth="1"/>
  </cols>
  <sheetData>
    <row r="1" spans="1:18" ht="18.5" x14ac:dyDescent="0.45">
      <c r="A1" s="36" t="s">
        <v>0</v>
      </c>
      <c r="B1" s="36"/>
      <c r="C1" s="36"/>
      <c r="D1" s="36"/>
      <c r="E1" s="36"/>
      <c r="F1" s="36"/>
      <c r="G1" s="36"/>
      <c r="H1" s="36"/>
    </row>
    <row r="2" spans="1:18" x14ac:dyDescent="0.35">
      <c r="K2" s="33" t="s">
        <v>1</v>
      </c>
      <c r="L2" s="37"/>
      <c r="M2" s="37"/>
      <c r="N2" s="37"/>
      <c r="O2" s="37"/>
      <c r="P2" s="34"/>
      <c r="Q2" s="18"/>
      <c r="R2" s="18"/>
    </row>
    <row r="3" spans="1:18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9"/>
      <c r="B4" s="39"/>
      <c r="C4" s="39"/>
      <c r="D4" s="39"/>
      <c r="E4" s="40" t="s">
        <v>9</v>
      </c>
      <c r="F4" s="41"/>
      <c r="G4" s="40" t="s">
        <v>9</v>
      </c>
      <c r="H4" s="41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30"/>
      <c r="H31" s="30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38" priority="1" operator="containsText" text="02.">
      <formula>NOT(ISERROR(SEARCH("02.",E6)))</formula>
    </cfRule>
    <cfRule type="containsText" dxfId="37" priority="2" operator="containsText" text="01.">
      <formula>NOT(ISERROR(SEARCH("01.",E6)))</formula>
    </cfRule>
    <cfRule type="containsText" dxfId="36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0" width="10.08984375" customWidth="1"/>
    <col min="11" max="12" width="3.453125" customWidth="1"/>
    <col min="13" max="13" width="14.36328125" customWidth="1"/>
    <col min="14" max="14" width="24" customWidth="1"/>
    <col min="15" max="15" width="9.54296875" bestFit="1" customWidth="1"/>
    <col min="16" max="16" width="10.453125" bestFit="1" customWidth="1"/>
    <col min="17" max="17" width="9.81640625" bestFit="1" customWidth="1"/>
    <col min="18" max="20" width="11.36328125" bestFit="1" customWidth="1"/>
    <col min="21" max="21" width="11.08984375" customWidth="1"/>
  </cols>
  <sheetData>
    <row r="1" spans="1:20" ht="18.5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20" x14ac:dyDescent="0.35">
      <c r="M2" s="33" t="s">
        <v>1</v>
      </c>
      <c r="N2" s="37"/>
      <c r="O2" s="37"/>
      <c r="P2" s="37"/>
      <c r="Q2" s="37"/>
      <c r="R2" s="37"/>
      <c r="S2" s="34"/>
      <c r="T2" s="18"/>
    </row>
    <row r="3" spans="1:20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9"/>
      <c r="B4" s="39"/>
      <c r="C4" s="39"/>
      <c r="D4" s="39"/>
      <c r="E4" s="40" t="s">
        <v>9</v>
      </c>
      <c r="F4" s="41"/>
      <c r="G4" s="40" t="s">
        <v>9</v>
      </c>
      <c r="H4" s="41"/>
      <c r="I4" s="40" t="s">
        <v>9</v>
      </c>
      <c r="J4" s="41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29"/>
      <c r="G29" s="28"/>
      <c r="H29" s="29"/>
      <c r="I29" s="28"/>
      <c r="J29" s="29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8"/>
      <c r="F31" s="29"/>
      <c r="G31" s="28"/>
      <c r="H31" s="29"/>
      <c r="I31" s="28"/>
      <c r="J31" s="29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35" priority="1" operator="containsText" text="02.">
      <formula>NOT(ISERROR(SEARCH("02.",E6)))</formula>
    </cfRule>
    <cfRule type="containsText" dxfId="34" priority="2" operator="containsText" text="01.">
      <formula>NOT(ISERROR(SEARCH("01.",E6)))</formula>
    </cfRule>
    <cfRule type="containsText" dxfId="3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>
    <pageSetUpPr fitToPage="1"/>
  </sheetPr>
  <dimension ref="A1:Y116"/>
  <sheetViews>
    <sheetView tabSelected="1" topLeftCell="H1" zoomScale="106" zoomScaleNormal="80" workbookViewId="0">
      <pane ySplit="5" topLeftCell="A6" activePane="bottomLeft" state="frozen"/>
      <selection pane="bottomLeft" activeCell="P81" sqref="P81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2" width="10.08984375" customWidth="1"/>
    <col min="13" max="14" width="3.453125" customWidth="1"/>
    <col min="15" max="15" width="6.6328125" bestFit="1" customWidth="1"/>
    <col min="16" max="16" width="16.36328125" bestFit="1" customWidth="1"/>
    <col min="17" max="17" width="15.81640625" bestFit="1" customWidth="1"/>
    <col min="18" max="21" width="11.36328125" bestFit="1" customWidth="1"/>
    <col min="24" max="24" width="11.36328125" customWidth="1"/>
  </cols>
  <sheetData>
    <row r="1" spans="1:25" ht="18.5" x14ac:dyDescent="0.45">
      <c r="A1" s="36" t="s">
        <v>81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25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K3" s="35" t="s">
        <v>82</v>
      </c>
      <c r="L3" s="35"/>
    </row>
    <row r="4" spans="1:25" x14ac:dyDescent="0.35">
      <c r="A4" s="39"/>
      <c r="B4" s="39"/>
      <c r="C4" s="39"/>
      <c r="D4" s="39"/>
      <c r="E4" s="31" t="s">
        <v>101</v>
      </c>
      <c r="F4" s="32"/>
      <c r="G4" s="31" t="s">
        <v>102</v>
      </c>
      <c r="H4" s="32"/>
      <c r="I4" s="31" t="s">
        <v>103</v>
      </c>
      <c r="J4" s="32"/>
      <c r="K4" s="31" t="s">
        <v>104</v>
      </c>
      <c r="L4" s="32"/>
      <c r="P4" t="s">
        <v>106</v>
      </c>
    </row>
    <row r="5" spans="1:25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K5" s="35" t="s">
        <v>14</v>
      </c>
      <c r="L5" s="35"/>
    </row>
    <row r="6" spans="1:25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>
        <v>1.1050925925925924E-3</v>
      </c>
      <c r="F6" s="30"/>
      <c r="G6" s="30">
        <v>9.1250000000000001E-4</v>
      </c>
      <c r="H6" s="30"/>
      <c r="I6" s="30">
        <v>9.9386574074074069E-4</v>
      </c>
      <c r="J6" s="30"/>
      <c r="K6" s="30">
        <v>8.5127314814814809E-4</v>
      </c>
      <c r="L6" s="30"/>
      <c r="P6" s="33" t="s">
        <v>83</v>
      </c>
      <c r="Q6" s="37"/>
      <c r="R6" s="37"/>
      <c r="S6" s="37"/>
      <c r="T6" s="37"/>
      <c r="U6" s="37"/>
      <c r="V6" s="37"/>
      <c r="W6" s="34"/>
      <c r="X6" s="18"/>
      <c r="Y6" s="18"/>
    </row>
    <row r="7" spans="1:25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2</v>
      </c>
      <c r="F7" s="14" cm="1">
        <f t="array" ref="F7">_xlfn.IFS(E7=4,1,E7=3,2,E7=2,3,E7=1,4,E6&lt;$D$6,"Too Fast",E6="DQ","DQ")</f>
        <v>3</v>
      </c>
      <c r="G7" s="15">
        <f t="shared" ref="G7" si="0">IF(G6="DQ",0,IF(G6&lt;$D$6,0,1+COUNTIFS($E$6:$K$6,"DQ")+COUNTIFS($E$6:$K$6,"&lt;"&amp;$D$6)+COUNTIF($E$6:$K$6,"&gt;"&amp;G$6)))</f>
        <v>4</v>
      </c>
      <c r="H7" s="14" cm="1">
        <f t="array" ref="H7">_xlfn.IFS(G7=4,1,G7=3,2,G7=2,3,G7=1,4,G6&lt;$D$6,"Too Fast",G6="DQ","DQ")</f>
        <v>1</v>
      </c>
      <c r="I7" s="15">
        <f t="shared" ref="I7" si="1">IF(I6="DQ",0,IF(I6&lt;$D$6,0,1+COUNTIFS($E$6:$K$6,"DQ")+COUNTIFS($E$6:$K$6,"&lt;"&amp;$D$6)+COUNTIF($E$6:$K$6,"&gt;"&amp;I$6)))</f>
        <v>3</v>
      </c>
      <c r="J7" s="14" cm="1">
        <f t="array" ref="J7">_xlfn.IFS(I7=4,1,I7=3,2,I7=2,3,I7=1,4,I6&lt;$D$6,"Too Fast",I6="DQ","DQ")</f>
        <v>2</v>
      </c>
      <c r="K7" s="15">
        <f t="shared" ref="K7" si="2">IF(K6="DQ",0,IF(K6&lt;$D$6,0,1+COUNTIFS($E$6:$K$6,"DQ")+COUNTIFS($E$6:$K$6,"&lt;"&amp;$D$6)+COUNTIF($E$6:$K$6,"&gt;"&amp;K$6)))</f>
        <v>0</v>
      </c>
      <c r="L7" s="14" t="str" cm="1">
        <f t="array" ref="L7">_xlfn.IFS(K7=4,1,K7=3,2,K7=2,3,K7=1,4,K6&lt;$D$6,"Too Fast",K6="DQ","DQ")</f>
        <v>Too Fast</v>
      </c>
      <c r="M7" s="27" t="b">
        <v>0</v>
      </c>
      <c r="P7" s="8"/>
      <c r="Q7" s="8"/>
      <c r="R7" s="17" t="s">
        <v>4</v>
      </c>
      <c r="S7" s="17" t="s">
        <v>5</v>
      </c>
      <c r="T7" s="17" t="s">
        <v>79</v>
      </c>
      <c r="U7" s="17" t="s">
        <v>84</v>
      </c>
      <c r="V7" s="17" t="s">
        <v>6</v>
      </c>
      <c r="W7" s="17" t="s">
        <v>7</v>
      </c>
      <c r="X7" s="26" t="s">
        <v>8</v>
      </c>
      <c r="Y7" s="17"/>
    </row>
    <row r="8" spans="1:25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30">
        <v>8.2997685185185193E-4</v>
      </c>
      <c r="F8" s="30"/>
      <c r="G8" s="30">
        <v>9.2013888888888885E-4</v>
      </c>
      <c r="H8" s="30"/>
      <c r="I8" s="30">
        <v>8.8194444444444453E-4</v>
      </c>
      <c r="J8" s="30"/>
      <c r="K8" s="30">
        <v>8.3263888888888884E-4</v>
      </c>
      <c r="L8" s="30"/>
      <c r="P8" s="17" t="str">
        <f>E3</f>
        <v>Lane 1</v>
      </c>
      <c r="Q8" s="17" t="str">
        <f>E4</f>
        <v>Backwell</v>
      </c>
      <c r="R8" s="20">
        <f>COUNTIF($F7:$F115,1)</f>
        <v>9</v>
      </c>
      <c r="S8" s="20">
        <f>COUNTIF($F7:$F115,2)</f>
        <v>14</v>
      </c>
      <c r="T8" s="20">
        <f>COUNTIF($F7:$F115,3)</f>
        <v>13</v>
      </c>
      <c r="U8" s="20">
        <f>COUNTIF($F7:$F115,4)</f>
        <v>17</v>
      </c>
      <c r="V8" s="20">
        <f>COUNTIF($F7:$F115,"DQ")</f>
        <v>0</v>
      </c>
      <c r="W8" s="20">
        <f>COUNTIF($F7:$F115,"Too Fast")</f>
        <v>0</v>
      </c>
      <c r="X8" s="2">
        <f>E116</f>
        <v>121</v>
      </c>
      <c r="Y8" s="18"/>
    </row>
    <row r="9" spans="1:25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1</v>
      </c>
      <c r="H9" s="14" cm="1">
        <f t="array" ref="H9">_xlfn.IFS(G9=4,1,G9=3,2,G9=2,3,G9=1,4,G8&lt;$D$8,"Too Fast",G8="DQ","DQ")</f>
        <v>4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3</v>
      </c>
      <c r="L9" s="14" cm="1">
        <f t="array" ref="L9">_xlfn.IFS(K9=4,1,K9=3,2,K9=2,3,K9=1,4,K8&lt;$D$8,"Too Fast",K8="DQ","DQ")</f>
        <v>2</v>
      </c>
      <c r="M9" s="27" t="b">
        <v>0</v>
      </c>
      <c r="P9" s="17" t="str">
        <f>G3</f>
        <v>Lane 2</v>
      </c>
      <c r="Q9" s="17" t="str">
        <f>G4</f>
        <v>B-O-S</v>
      </c>
      <c r="R9" s="20">
        <f>COUNTIF($H7:$H115,1)</f>
        <v>12</v>
      </c>
      <c r="S9" s="20">
        <f>COUNTIF($H7:$H115,2)</f>
        <v>14</v>
      </c>
      <c r="T9" s="20">
        <f>COUNTIF($H7:$H115,3)</f>
        <v>15</v>
      </c>
      <c r="U9" s="20">
        <f>COUNTIF($H7:$H115,4)</f>
        <v>11</v>
      </c>
      <c r="V9" s="20">
        <f>COUNTIF($H7:$H115,"DQ")</f>
        <v>1</v>
      </c>
      <c r="W9" s="20">
        <f>COUNTIF($H7:$H115,"Too Fast")</f>
        <v>0</v>
      </c>
      <c r="X9" s="2">
        <f>G116</f>
        <v>131</v>
      </c>
      <c r="Y9" s="18"/>
    </row>
    <row r="10" spans="1:25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30">
        <v>1.0565972222222222E-3</v>
      </c>
      <c r="F10" s="30"/>
      <c r="G10" s="30">
        <v>9.1909722222222219E-4</v>
      </c>
      <c r="H10" s="30"/>
      <c r="I10" s="30">
        <v>9.2824074074074076E-4</v>
      </c>
      <c r="J10" s="30"/>
      <c r="K10" s="30">
        <v>8.5567129629629632E-4</v>
      </c>
      <c r="L10" s="30"/>
      <c r="P10" s="17" t="str">
        <f>I3</f>
        <v>Lane 3</v>
      </c>
      <c r="Q10" s="17" t="str">
        <f>I4</f>
        <v>Yeovil</v>
      </c>
      <c r="R10" s="20">
        <f>COUNTIF($J7:$J115,1)</f>
        <v>4</v>
      </c>
      <c r="S10" s="20">
        <f>COUNTIF($J7:$J115,2)</f>
        <v>16</v>
      </c>
      <c r="T10" s="20">
        <f>COUNTIF($J7:$J115,3)</f>
        <v>18</v>
      </c>
      <c r="U10" s="20">
        <f>COUNTIF($J7:$J115,4)</f>
        <v>13</v>
      </c>
      <c r="V10" s="20">
        <f>COUNTIF($J7:$J115,"DQ")</f>
        <v>0</v>
      </c>
      <c r="W10" s="20">
        <f>COUNTIF($J7:$J115,"Too Fast")</f>
        <v>2</v>
      </c>
      <c r="X10" s="2">
        <f>I116</f>
        <v>113</v>
      </c>
      <c r="Y10" s="18"/>
    </row>
    <row r="11" spans="1:25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0</v>
      </c>
      <c r="L11" s="14" t="str" cm="1">
        <f t="array" ref="L11">_xlfn.IFS(K11=4,1,K11=3,2,K11=2,3,K11=1,4,K10&lt;$D$10,"Too Fast",K10="DQ","DQ")</f>
        <v>Too Fast</v>
      </c>
      <c r="M11" s="27" t="b">
        <v>0</v>
      </c>
      <c r="P11" s="17" t="str">
        <f>K3</f>
        <v>Lane 4</v>
      </c>
      <c r="Q11" s="17" t="str">
        <f>K4</f>
        <v>Sevenside</v>
      </c>
      <c r="R11" s="20">
        <f>COUNTIF($L7:$L115,1)</f>
        <v>28</v>
      </c>
      <c r="S11" s="20">
        <f>COUNTIF($L7:$L115,2)</f>
        <v>8</v>
      </c>
      <c r="T11" s="20">
        <f>COUNTIF($L7:$L115,3)</f>
        <v>6</v>
      </c>
      <c r="U11" s="20">
        <f>COUNTIF($L7:$L115,4)</f>
        <v>4</v>
      </c>
      <c r="V11" s="20">
        <f>COUNTIF($L7:$L115,"DQ")</f>
        <v>1</v>
      </c>
      <c r="W11" s="20">
        <f>COUNTIF($L7:$L115,"Too Fast")</f>
        <v>6</v>
      </c>
      <c r="X11" s="2">
        <f>K116</f>
        <v>152</v>
      </c>
      <c r="Y11" s="18"/>
    </row>
    <row r="12" spans="1:25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30">
        <v>8.342592592592592E-4</v>
      </c>
      <c r="F12" s="30"/>
      <c r="G12" s="30">
        <v>7.8009259259259264E-4</v>
      </c>
      <c r="H12" s="30"/>
      <c r="I12" s="30">
        <v>8.6585648148148156E-4</v>
      </c>
      <c r="J12" s="30"/>
      <c r="K12" s="30">
        <v>8.5868055555555556E-4</v>
      </c>
      <c r="L12" s="30"/>
    </row>
    <row r="13" spans="1:25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4</v>
      </c>
      <c r="H13" s="14" cm="1">
        <f t="array" ref="H13">_xlfn.IFS(G13=4,1,G13=3,2,G13=2,3,G13=1,4,G12&lt;$D$12,"Too Fast",G12="DQ","DQ")</f>
        <v>1</v>
      </c>
      <c r="I13" s="9">
        <f t="shared" ref="I13" si="7">IF(I12="DQ",0,IF(I12&lt;$D$12,0,1+COUNTIFS($E$12:$K$12,"DQ")+COUNTIFS($E$12:$K$12,"&lt;"&amp;$D$12)+COUNTIF($E$12:$K$12,"&gt;"&amp;I$12)))</f>
        <v>1</v>
      </c>
      <c r="J13" s="14" cm="1">
        <f t="array" ref="J13">_xlfn.IFS(I13=4,1,I13=3,2,I13=2,3,I13=1,4,I12&lt;$D$12,"Too Fast",I12="DQ","DQ")</f>
        <v>4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  <c r="M13" s="27" t="b">
        <v>0</v>
      </c>
    </row>
    <row r="14" spans="1:25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30">
        <v>1.9456018518518517E-4</v>
      </c>
      <c r="F14" s="30"/>
      <c r="G14" s="30">
        <v>1.9826388888888888E-4</v>
      </c>
      <c r="H14" s="30"/>
      <c r="I14" s="30">
        <v>1.9756944444444444E-4</v>
      </c>
      <c r="J14" s="30"/>
      <c r="K14" s="30">
        <v>1.7129629629629632E-4</v>
      </c>
      <c r="L14" s="30"/>
    </row>
    <row r="15" spans="1:25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1</v>
      </c>
      <c r="H15" s="14" cm="1">
        <f t="array" ref="H15">_xlfn.IFS(G15=4,1,G15=3,2,G15=2,3,G15=1,4,G14&lt;$D$14,"Too Fast",G14="DQ","DQ")</f>
        <v>4</v>
      </c>
      <c r="I15" s="9">
        <f t="shared" ref="I15" si="10">IF(I14="DQ",0,IF(I14&lt;$D$14,0,1+COUNTIFS($E$14:$K$14,"DQ")+COUNTIFS($E$14:$K$14,"&lt;"&amp;$D$14)+COUNTIF($E$14:$K$14,"&gt;"&amp;I$14)))</f>
        <v>2</v>
      </c>
      <c r="J15" s="14" cm="1">
        <f t="array" ref="J15">_xlfn.IFS(I15=4,1,I15=3,2,I15=2,3,I15=1,4,I14&lt;$D$14,"Too Fast",I14="DQ","DQ")</f>
        <v>3</v>
      </c>
      <c r="K15" s="9">
        <f t="shared" ref="K15" si="11">IF(K14="DQ",0,IF(K14&lt;$D$14,0,1+COUNTIFS($E$14:$K$14,"DQ")+COUNTIFS($E$14:$K$14,"&lt;"&amp;$D$14)+COUNTIF($E$14:$K$14,"&gt;"&amp;K$14)))</f>
        <v>4</v>
      </c>
      <c r="L15" s="14" cm="1">
        <f t="array" ref="L15">_xlfn.IFS(K15=4,1,K15=3,2,K15=2,3,K15=1,4,K14&lt;$D$14,"Too Fast",K14="DQ","DQ")</f>
        <v>1</v>
      </c>
      <c r="M15" s="27" t="b">
        <v>0</v>
      </c>
    </row>
    <row r="16" spans="1:25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30">
        <v>2.0150462962962963E-4</v>
      </c>
      <c r="F16" s="30"/>
      <c r="G16" s="30">
        <v>1.8912037037037036E-4</v>
      </c>
      <c r="H16" s="30"/>
      <c r="I16" s="30">
        <v>2.2569444444444443E-4</v>
      </c>
      <c r="J16" s="30"/>
      <c r="K16" s="30">
        <v>2.0891203703703705E-4</v>
      </c>
      <c r="L16" s="30"/>
    </row>
    <row r="17" spans="1:13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1</v>
      </c>
      <c r="J17" s="14" cm="1">
        <f t="array" ref="J17">_xlfn.IFS(I17=4,1,I17=3,2,I17=2,3,I17=1,4,I16&lt;$D$16,"Too Fast",I16="DQ","DQ")</f>
        <v>4</v>
      </c>
      <c r="K17" s="9">
        <f t="shared" ref="K17" si="14">IF(K16="DQ",0,IF(K16&lt;$D$16,0,1+COUNTIFS($E$16:$K$16,"DQ")+COUNTIFS($E$16:$K$16,"&lt;"&amp;$D$16)+COUNTIF($E$16:$K$16,"&gt;"&amp;K$16)))</f>
        <v>2</v>
      </c>
      <c r="L17" s="14" cm="1">
        <f t="array" ref="L17">_xlfn.IFS(K17=4,1,K17=3,2,K17=2,3,K17=1,4,K16&lt;$D$16,"Too Fast",K16="DQ","DQ")</f>
        <v>3</v>
      </c>
      <c r="M17" s="27" t="b">
        <v>0</v>
      </c>
    </row>
    <row r="18" spans="1:13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30">
        <v>4.9826388888888891E-4</v>
      </c>
      <c r="F18" s="30"/>
      <c r="G18" s="30">
        <v>5.6527777777777783E-4</v>
      </c>
      <c r="H18" s="30"/>
      <c r="I18" s="30">
        <v>5.8101851851851858E-4</v>
      </c>
      <c r="J18" s="30"/>
      <c r="K18" s="30">
        <v>4.8414351851851852E-4</v>
      </c>
      <c r="L18" s="30"/>
    </row>
    <row r="19" spans="1:13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2</v>
      </c>
      <c r="H19" s="14" cm="1">
        <f t="array" ref="H19">_xlfn.IFS(G19=4,1,G19=3,2,G19=2,3,G19=1,4,G18&lt;$D$18,"Too Fast",G18="DQ","DQ")</f>
        <v>3</v>
      </c>
      <c r="I19" s="9">
        <f t="shared" ref="I19" si="16">IF(I18="DQ",0,IF(I18&lt;$D$18,0,1+COUNTIFS($E$18:$K$18,"DQ")+COUNTIFS($E$18:$K$18,"&lt;"&amp;$D$18)+COUNTIF($E$18:$K$18,"&gt;"&amp;I$18)))</f>
        <v>1</v>
      </c>
      <c r="J19" s="14" cm="1">
        <f t="array" ref="J19">_xlfn.IFS(I19=4,1,I19=3,2,I19=2,3,I19=1,4,I18&lt;$D$18,"Too Fast",I18="DQ","DQ")</f>
        <v>4</v>
      </c>
      <c r="K19" s="9">
        <f t="shared" ref="K19" si="17">IF(K18="DQ",0,IF(K18&lt;$D$18,0,1+COUNTIFS($E$18:$K$18,"DQ")+COUNTIFS($E$18:$K$18,"&lt;"&amp;$D$18)+COUNTIF($E$18:$K$18,"&gt;"&amp;K$18)))</f>
        <v>4</v>
      </c>
      <c r="L19" s="14" cm="1">
        <f t="array" ref="L19">_xlfn.IFS(K19=4,1,K19=3,2,K19=2,3,K19=1,4,K18&lt;$D$18,"Too Fast",K18="DQ","DQ")</f>
        <v>1</v>
      </c>
      <c r="M19" s="27" t="b">
        <v>0</v>
      </c>
    </row>
    <row r="20" spans="1:13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30">
        <v>5.0324074074074073E-4</v>
      </c>
      <c r="F20" s="30"/>
      <c r="G20" s="30">
        <v>5.5439814814814815E-4</v>
      </c>
      <c r="H20" s="30"/>
      <c r="I20" s="30">
        <v>4.8182870370370372E-4</v>
      </c>
      <c r="J20" s="30"/>
      <c r="K20" s="30">
        <v>4.5960648148148147E-4</v>
      </c>
      <c r="L20" s="30"/>
    </row>
    <row r="21" spans="1:13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 t="shared" ref="K21" si="20">IF(K20="DQ",0,IF(K20&lt;$D$20,0,1+COUNTIFS($E$20:$K$20,"DQ")+COUNTIFS($E$20:$K$20,"&lt;"&amp;$D$20)+COUNTIF($E$20:$K$20,"&gt;"&amp;K$20)))</f>
        <v>0</v>
      </c>
      <c r="L21" s="14" t="str" cm="1">
        <f t="array" ref="L21">_xlfn.IFS(K21=4,1,K21=3,2,K21=2,3,K21=1,4,K20&lt;$D$20,"Too Fast",K20="DQ","DQ")</f>
        <v>Too Fast</v>
      </c>
      <c r="M21" s="27" t="b">
        <v>0</v>
      </c>
    </row>
    <row r="22" spans="1:13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30">
        <v>5.0393518518518517E-4</v>
      </c>
      <c r="F22" s="30"/>
      <c r="G22" s="30">
        <v>4.8576388888888888E-4</v>
      </c>
      <c r="H22" s="30"/>
      <c r="I22" s="30">
        <v>4.3506944444444447E-4</v>
      </c>
      <c r="J22" s="30"/>
      <c r="K22" s="30">
        <v>3.9340277777777778E-4</v>
      </c>
      <c r="L22" s="30"/>
    </row>
    <row r="23" spans="1:13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21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22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3">IF(K22="DQ",0,IF(K22&lt;$D$22,0,1+COUNTIFS($E$22:$K$22,"DQ")+COUNTIFS($E$22:$K$22,"&lt;"&amp;$D$22)+COUNTIF($E$22:$K$22,"&gt;"&amp;K$22)))</f>
        <v>4</v>
      </c>
      <c r="L23" s="14" cm="1">
        <f t="array" ref="L23">_xlfn.IFS(K23=4,1,K23=3,2,K23=2,3,K23=1,4,K22&lt;$D$22,"Too Fast",K22="DQ","DQ")</f>
        <v>1</v>
      </c>
      <c r="M23" s="27" t="b">
        <v>0</v>
      </c>
    </row>
    <row r="24" spans="1:13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30">
        <v>4.1759259259259256E-4</v>
      </c>
      <c r="F24" s="30"/>
      <c r="G24" s="30">
        <v>4.2025462962962963E-4</v>
      </c>
      <c r="H24" s="30"/>
      <c r="I24" s="30">
        <v>3.9652777777777776E-4</v>
      </c>
      <c r="J24" s="30"/>
      <c r="K24" s="30">
        <v>3.850694444444445E-4</v>
      </c>
      <c r="L24" s="30"/>
    </row>
    <row r="25" spans="1:13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2</v>
      </c>
      <c r="F25" s="14" cm="1">
        <f t="array" ref="F25">_xlfn.IFS(E25=4,1,E25=3,2,E25=2,3,E25=1,4,E24&lt;$D$24,"Too Fast",E24="DQ","DQ")</f>
        <v>3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4</v>
      </c>
      <c r="L25" s="14" cm="1">
        <f t="array" ref="L25">_xlfn.IFS(K25=4,1,K25=3,2,K25=2,3,K25=1,4,K24&lt;$D$24,"Too Fast",K24="DQ","DQ")</f>
        <v>1</v>
      </c>
      <c r="M25" s="27" t="b">
        <v>0</v>
      </c>
    </row>
    <row r="26" spans="1:13" x14ac:dyDescent="0.35">
      <c r="A26" s="2"/>
      <c r="B26" s="12" t="s">
        <v>29</v>
      </c>
      <c r="C26" s="3"/>
      <c r="D26" s="16"/>
      <c r="E26" s="13">
        <f>E7+E9+E11+E13+E15+E17+E19+E21+E23+E25</f>
        <v>27</v>
      </c>
      <c r="F26" s="13"/>
      <c r="G26" s="13">
        <f t="shared" ref="G26:K26" si="27">G7+G9+G11+G13+G15+G17+G19+G21+G23+G25</f>
        <v>26</v>
      </c>
      <c r="H26" s="13"/>
      <c r="I26" s="13">
        <f t="shared" si="27"/>
        <v>19</v>
      </c>
      <c r="J26" s="13"/>
      <c r="K26" s="13">
        <f t="shared" si="27"/>
        <v>23</v>
      </c>
      <c r="L26" s="18"/>
    </row>
    <row r="27" spans="1:13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>
        <v>9.0729166666666671E-4</v>
      </c>
      <c r="F27" s="30"/>
      <c r="G27" s="30">
        <v>8.8726851851851846E-4</v>
      </c>
      <c r="H27" s="30"/>
      <c r="I27" s="30">
        <v>9.5995370370370364E-4</v>
      </c>
      <c r="J27" s="30"/>
      <c r="K27" s="30">
        <v>8.4756944444444452E-4</v>
      </c>
      <c r="L27" s="30"/>
    </row>
    <row r="28" spans="1:13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1</v>
      </c>
      <c r="J28" s="14" cm="1">
        <f t="array" ref="J28">_xlfn.IFS(I28=4,1,I28=3,2,I28=2,3,I28=1,4,I27&lt;$D$27,"Too Fast",I27="DQ","DQ")</f>
        <v>4</v>
      </c>
      <c r="K28" s="9">
        <f t="shared" ref="K28" si="30">IF(K27="DQ",0,IF(K27&lt;$D$27,0,1+COUNTIFS($E$27:$K$27,"DQ")+COUNTIFS($E$27:$K$27,"&lt;"&amp;$D$27)+COUNTIF($E$27:$K$27,"&gt;"&amp;K$27)))</f>
        <v>4</v>
      </c>
      <c r="L28" s="14" cm="1">
        <f t="array" ref="L28">_xlfn.IFS(K28=4,1,K28=3,2,K28=2,3,K28=1,4,K27&lt;$D$27,"Too Fast",K27="DQ","DQ")</f>
        <v>1</v>
      </c>
      <c r="M28" s="27" t="b">
        <v>0</v>
      </c>
    </row>
    <row r="29" spans="1:13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>
        <v>7.4027777777777774E-4</v>
      </c>
      <c r="F29" s="30"/>
      <c r="G29" s="30">
        <v>7.4479166666666661E-4</v>
      </c>
      <c r="H29" s="30"/>
      <c r="I29" s="30">
        <v>7.8553240740740742E-4</v>
      </c>
      <c r="J29" s="30"/>
      <c r="K29" s="30">
        <v>8.1481481481481487E-4</v>
      </c>
      <c r="L29" s="30"/>
    </row>
    <row r="30" spans="1:13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4</v>
      </c>
      <c r="F30" s="14" cm="1">
        <f t="array" ref="F30">_xlfn.IFS(E30=4,1,E30=3,2,E30=2,3,E30=1,4,E29&lt;$D$29,"Too Fast",E29="DQ","DQ")</f>
        <v>1</v>
      </c>
      <c r="G30" s="9">
        <f>IF(G29="DQ",0,IF(G29&lt;$D$29,0,1+COUNTIFS($E$29:$K$29,"DQ")+COUNTIFS($E$29:$K$29,"&lt;"&amp;$D$29)+COUNTIF($E$29:$K$29,"&gt;"&amp;G$29)))</f>
        <v>3</v>
      </c>
      <c r="H30" s="14" cm="1">
        <f t="array" ref="H30">_xlfn.IFS(G30=4,1,G30=3,2,G30=2,3,G30=1,4,G29&lt;$D$29,"Too Fast",G29="DQ","DQ")</f>
        <v>2</v>
      </c>
      <c r="I30" s="9">
        <f>IF(I29="DQ",0,IF(I29&lt;$D$29,0,1+COUNTIFS($E$29:$K$29,"DQ")+COUNTIFS($E$29:$K$29,"&lt;"&amp;$D$29)+COUNTIF($E$29:$K$29,"&gt;"&amp;I$29)))</f>
        <v>2</v>
      </c>
      <c r="J30" s="14" cm="1">
        <f t="array" ref="J30">_xlfn.IFS(I30=4,1,I30=3,2,I30=2,3,I30=1,4,I29&lt;$D$29,"Too Fast",I29="DQ","DQ")</f>
        <v>3</v>
      </c>
      <c r="K30" s="9">
        <f>IF(K29="DQ",0,IF(K29&lt;$D$29,0,1+COUNTIFS($E$29:$K$29,"DQ")+COUNTIFS($E$29:$K$29,"&lt;"&amp;$D$29)+COUNTIF($E$29:$K$29,"&gt;"&amp;K$29)))</f>
        <v>1</v>
      </c>
      <c r="L30" s="14" cm="1">
        <f t="array" ref="L30">_xlfn.IFS(K30=4,1,K30=3,2,K30=2,3,K30=1,4,K29&lt;$D$29,"Too Fast",K29="DQ","DQ")</f>
        <v>4</v>
      </c>
      <c r="M30" s="27" t="b">
        <v>0</v>
      </c>
    </row>
    <row r="31" spans="1:13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>
        <v>1.0510416666666667E-3</v>
      </c>
      <c r="F31" s="30"/>
      <c r="G31" s="28">
        <v>1.0069444444444444E-3</v>
      </c>
      <c r="H31" s="29"/>
      <c r="I31" s="28">
        <v>1.0021990740740742E-3</v>
      </c>
      <c r="J31" s="29"/>
      <c r="K31" s="28">
        <v>9.4756944444444446E-4</v>
      </c>
      <c r="L31" s="29"/>
    </row>
    <row r="32" spans="1:13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_xlfn.IFS(G32=4,1,G32=3,2,G32=2,3,G32=1,4,G31&lt;$D$31,"Too Fast",G31="DQ","DQ")</f>
        <v>3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_xlfn.IFS(I32=4,1,I32=3,2,I32=2,3,I32=1,4,I31&lt;$D$31,"Too Fast",I31="DQ","DQ")</f>
        <v>2</v>
      </c>
      <c r="K32" s="9">
        <f>IF(K31="DQ",0,IF(K31&lt;$D$31,0,1+COUNTIFS($E$31:$T$31,"DQ")+COUNTIFS($E$31:$T$31,"&lt;"&amp;$D$31)+COUNTIF($E$31:$T$31,"&gt;"&amp;K$31)))</f>
        <v>4</v>
      </c>
      <c r="L32" s="14" cm="1">
        <f t="array" ref="L32">_xlfn.IFS(K32=4,1,K32=3,2,K32=2,3,K32=1,4,K31&lt;$D$31,"Too Fast",K31="DQ","DQ")</f>
        <v>1</v>
      </c>
      <c r="M32" s="27" t="b">
        <v>0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>
        <v>1.0177083333333334E-3</v>
      </c>
      <c r="F33" s="30"/>
      <c r="G33" s="30">
        <v>1.0517361111111111E-3</v>
      </c>
      <c r="H33" s="30"/>
      <c r="I33" s="30">
        <v>1.1126157407407406E-3</v>
      </c>
      <c r="J33" s="30"/>
      <c r="K33" s="30">
        <v>9.4189814814814809E-4</v>
      </c>
      <c r="L33" s="30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1</v>
      </c>
      <c r="J34" s="14" cm="1">
        <f t="array" ref="J34">_xlfn.IFS(I34=4,1,I34=3,2,I34=2,3,I34=1,4,I33&lt;$D$33,"Too Fast",I33="DQ","DQ")</f>
        <v>4</v>
      </c>
      <c r="K34" s="9">
        <f>IF(K33="DQ",0,IF(K33&lt;D33,0,1+COUNTIFS($E$33:$K$33,"DQ")+COUNTIFS($E$33:$K$33,"&lt;"&amp;D33)+COUNTIF($E$33:$K$33,"&gt;"&amp;K$33)))</f>
        <v>4</v>
      </c>
      <c r="L34" s="14" cm="1">
        <f t="array" ref="L34">_xlfn.IFS(K34=4,1,K34=3,2,K34=2,3,K34=1,4,K33&lt;$D$33,"Too Fast",K33="DQ","DQ")</f>
        <v>1</v>
      </c>
      <c r="M34" s="27" t="b">
        <v>0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>
        <v>8.0300925925925917E-4</v>
      </c>
      <c r="F35" s="30"/>
      <c r="G35" s="30">
        <v>8.4317129629629618E-4</v>
      </c>
      <c r="H35" s="30"/>
      <c r="I35" s="30">
        <v>8.3912037037037039E-4</v>
      </c>
      <c r="J35" s="30"/>
      <c r="K35" s="30">
        <v>7.2071759259259268E-4</v>
      </c>
      <c r="L35" s="30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1</v>
      </c>
      <c r="H36" s="14" cm="1">
        <f t="array" ref="H36">_xlfn.IFS(G36=4,1,G36=3,2,G36=2,3,G36=1,4,G35&lt;$D$35,"Too Fast",G35="DQ","DQ")</f>
        <v>4</v>
      </c>
      <c r="I36" s="9">
        <f>IF(I35="DQ",0,IF(I35&lt;$D$35,0,1+COUNTIFS($E$35:$K$35,"DQ")+COUNTIFS($E$35:$K$35,"&lt;"&amp;$D$35)+COUNTIF($E$35:$K$35,"&gt;"&amp;I35)))</f>
        <v>2</v>
      </c>
      <c r="J36" s="14" cm="1">
        <f t="array" ref="J36">_xlfn.IFS(I36=4,1,I36=3,2,I36=2,3,I36=1,4,I35&lt;$D$35,"Too Fast",I35="DQ","DQ")</f>
        <v>3</v>
      </c>
      <c r="K36" s="9">
        <f>IF(K35="DQ",0,IF(K35&lt;$D$35,0,1+COUNTIFS($E$35:$K$35,"DQ")+COUNTIFS($E$35:$K$35,"&lt;"&amp;$D$35)+COUNTIF($E$35:$K$35,"&gt;"&amp;K35)))</f>
        <v>4</v>
      </c>
      <c r="L36" s="14" cm="1">
        <f t="array" ref="L36">_xlfn.IFS(K36=4,1,K36=3,2,K36=2,3,K36=1,4,K35&lt;$D$35,"Too Fast",K35="DQ","DQ")</f>
        <v>1</v>
      </c>
      <c r="M36" s="27" t="b">
        <v>0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>
        <v>7.7847222222222228E-4</v>
      </c>
      <c r="F37" s="30"/>
      <c r="G37" s="30">
        <v>8.4999999999999995E-4</v>
      </c>
      <c r="H37" s="30"/>
      <c r="I37" s="30">
        <v>7.4513888888888883E-4</v>
      </c>
      <c r="J37" s="30"/>
      <c r="K37" s="30" t="s">
        <v>105</v>
      </c>
      <c r="L37" s="30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0</v>
      </c>
      <c r="L38" s="14" t="str" cm="1">
        <f t="array" ref="L38">_xlfn.IFS(K38=4,1,K38=3,2,K38=2,3,K38=1,4,K37&lt;$D$37,"Too Fast",K37="DQ","DQ")</f>
        <v>DQ</v>
      </c>
      <c r="M38" s="27" t="b">
        <v>0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>
        <v>4.8425925925925931E-4</v>
      </c>
      <c r="F39" s="30"/>
      <c r="G39" s="30">
        <v>5.1655092592592594E-4</v>
      </c>
      <c r="H39" s="30"/>
      <c r="I39" s="30">
        <v>4.9780092592592595E-4</v>
      </c>
      <c r="J39" s="30"/>
      <c r="K39" s="30">
        <v>4.5567129629629625E-4</v>
      </c>
      <c r="L39" s="30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4</v>
      </c>
      <c r="L40" s="14" cm="1">
        <f t="array" ref="L40">_xlfn.IFS(K40=4,1,K40=3,2,K40=2,3,K40=1,4,K39&lt;$D$39,"Too Fast",K39="DQ","DQ")</f>
        <v>1</v>
      </c>
      <c r="M40" s="27" t="b">
        <v>0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>
        <v>4.8460648148148148E-4</v>
      </c>
      <c r="F41" s="30"/>
      <c r="G41" s="30">
        <v>4.4814814814814815E-4</v>
      </c>
      <c r="H41" s="30"/>
      <c r="I41" s="30">
        <v>4.3124999999999999E-4</v>
      </c>
      <c r="J41" s="30"/>
      <c r="K41" s="30">
        <v>4.3067129629629629E-4</v>
      </c>
      <c r="L41" s="30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IF(K41="DQ",0,IF(K41&lt;$D$41,0,1+COUNTIFS($E$41:$K$41,"DQ")+COUNTIFS($E$41:$K$41,"&lt;"&amp;$D$41)+COUNTIF($E$41:$K$41,"&gt;"&amp;K41)))</f>
        <v>0</v>
      </c>
      <c r="L42" s="14" t="str" cm="1">
        <f t="array" ref="L42">_xlfn.IFS(K42=4,1,K42=3,2,K42=2,3,K42=1,4,K41&lt;$D$41,"Too Fast",K41="DQ","DQ")</f>
        <v>Too Fast</v>
      </c>
      <c r="M42" s="27" t="b">
        <v>0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>
        <v>9.3912037037037033E-4</v>
      </c>
      <c r="F43" s="30"/>
      <c r="G43" s="30">
        <v>8.1307870370370366E-4</v>
      </c>
      <c r="H43" s="30"/>
      <c r="I43" s="30">
        <v>9.1956018518518526E-4</v>
      </c>
      <c r="J43" s="30"/>
      <c r="K43" s="30">
        <v>8.2893518518518527E-4</v>
      </c>
      <c r="L43" s="30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1</v>
      </c>
      <c r="F44" s="14" cm="1">
        <f t="array" ref="F44">_xlfn.IFS(E44=4,1,E44=3,2,E44=2,3,E44=1,4,E43&lt;$D$43,"Too Fast",E43="DQ","DQ")</f>
        <v>4</v>
      </c>
      <c r="G44" s="9">
        <f>IF(G43="DQ",0,IF(G43&lt;$D$43,0,1+COUNTIFS($E$43:$K$43,"DQ")+COUNTIFS($E$43:$K$43,"&lt;"&amp;$D$43)+COUNTIF($E$43:$K$43,"&gt;"&amp;G43)))</f>
        <v>4</v>
      </c>
      <c r="H44" s="14" cm="1">
        <f t="array" ref="H44">_xlfn.IFS(G44=4,1,G44=3,2,G44=2,3,G44=1,4,G43&lt;$D$43,"Too Fast",G43="DQ","DQ")</f>
        <v>1</v>
      </c>
      <c r="I44" s="9">
        <f>IF(I43="DQ",0,IF(I43&lt;$D$43,0,1+COUNTIFS($E$43:$K$43,"DQ")+COUNTIFS($E$43:$K$43,"&lt;"&amp;$D$43)+COUNTIF($E$43:$K$43,"&gt;"&amp;I43)))</f>
        <v>2</v>
      </c>
      <c r="J44" s="14" cm="1">
        <f t="array" ref="J44">_xlfn.IFS(I44=4,1,I44=3,2,I44=2,3,I44=1,4,I43&lt;$D$43,"Too Fast",I43="DQ","DQ")</f>
        <v>3</v>
      </c>
      <c r="K44" s="9">
        <f>IF(K43="DQ",0,IF(K43&lt;$D$43,0,1+COUNTIFS($E$43:$K$43,"DQ")+COUNTIFS($E$43:$K$43,"&lt;"&amp;$D$43)+COUNTIF($E$43:$K$43,"&gt;"&amp;K43)))</f>
        <v>3</v>
      </c>
      <c r="L44" s="14" cm="1">
        <f t="array" ref="L44">_xlfn.IFS(K44=4,1,K44=3,2,K44=2,3,K44=1,4,K43&lt;$D$43,"Too Fast",K43="DQ","DQ")</f>
        <v>2</v>
      </c>
      <c r="M44" s="27" t="b">
        <v>0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>
        <v>8.016203703703704E-4</v>
      </c>
      <c r="F45" s="30"/>
      <c r="G45" s="30">
        <v>7.8020833333333327E-4</v>
      </c>
      <c r="H45" s="30"/>
      <c r="I45" s="30">
        <v>7.9363425925925923E-4</v>
      </c>
      <c r="J45" s="30"/>
      <c r="K45" s="30">
        <v>7.8553240740740742E-4</v>
      </c>
      <c r="L45" s="30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4</v>
      </c>
      <c r="H46" s="14" cm="1">
        <f t="array" ref="H46">_xlfn.IFS(G46=4,1,G46=3,2,G46=2,3,G46=1,4,G45&lt;$D$45,"Too Fast",G45="DQ","DQ")</f>
        <v>1</v>
      </c>
      <c r="I46" s="9">
        <f>IF(I45="DQ",0,IF(I45&lt;$D$45,0,1+COUNTIFS($E$45:$K$45,"DQ")+COUNTIFS($E$45:$K$45,"&lt;"&amp;$D$45)+COUNTIF($E$45:$K$45,"&gt;"&amp;I45)))</f>
        <v>2</v>
      </c>
      <c r="J46" s="14" cm="1">
        <f t="array" ref="J46">_xlfn.IFS(I46=4,1,I46=3,2,I46=2,3,I46=1,4,I45&lt;$D$45,"Too Fast",I45="DQ","DQ")</f>
        <v>3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M46" s="27" t="b">
        <v>0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51</v>
      </c>
      <c r="F47" s="19"/>
      <c r="G47" s="19">
        <f t="shared" ref="G47:K47" si="31">G26+G28+G30+G32+G34+G36+G38+G40+G42+G44+G46</f>
        <v>52</v>
      </c>
      <c r="H47" s="19"/>
      <c r="I47" s="19">
        <f t="shared" si="31"/>
        <v>38</v>
      </c>
      <c r="J47" s="19"/>
      <c r="K47" s="19">
        <f t="shared" si="31"/>
        <v>50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>
        <v>2.4467592592592591E-4</v>
      </c>
      <c r="F48" s="30"/>
      <c r="G48" s="30">
        <v>2.0509259259259257E-4</v>
      </c>
      <c r="H48" s="30"/>
      <c r="I48" s="30">
        <v>2.3379629629629629E-4</v>
      </c>
      <c r="J48" s="30"/>
      <c r="K48" s="30">
        <v>1.939814814814815E-4</v>
      </c>
      <c r="L48" s="30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1</v>
      </c>
      <c r="F49" s="14" cm="1">
        <f t="array" ref="F49">_xlfn.IFS(E49=4,1,E49=3,2,E49=2,3,E49=1,4,E48&lt;$D$48,"Too Fast",E48="DQ","DQ")</f>
        <v>4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M49" s="27" t="b">
        <v>0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>
        <v>2.1944444444444444E-4</v>
      </c>
      <c r="F50" s="30"/>
      <c r="G50" s="30">
        <v>2.2245370370370369E-4</v>
      </c>
      <c r="H50" s="30"/>
      <c r="I50" s="30">
        <v>2.0081018518518519E-4</v>
      </c>
      <c r="J50" s="30"/>
      <c r="K50" s="30">
        <v>2.056712962962963E-4</v>
      </c>
      <c r="L50" s="30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2</v>
      </c>
      <c r="F51" s="14" cm="1">
        <f t="array" ref="F51">_xlfn.IFS(E51=4,1,E51=3,2,E51=2,3,E51=1,4,E50&lt;$D$50,"Too Fast",E50="DQ","DQ")</f>
        <v>3</v>
      </c>
      <c r="G51" s="9">
        <f>IF(G50="DQ",0,IF(G50&lt;$D$50,0,1+COUNTIFS($E$50:$K$50,"DQ")+COUNTIFS($E$50:$K$50,"&lt;"&amp;$D$50)+COUNTIF($E$50:$K$50,"&gt;"&amp;G50)))</f>
        <v>1</v>
      </c>
      <c r="H51" s="14" cm="1">
        <f t="array" ref="H51">_xlfn.IFS(G51=4,1,G51=3,2,G51=2,3,G51=1,4,G50&lt;$D$50,"Too Fast",G50="DQ","DQ")</f>
        <v>4</v>
      </c>
      <c r="I51" s="9">
        <f>IF(I50="DQ",0,IF(I50&lt;$D$50,0,1+COUNTIFS($E$50:$K$50,"DQ")+COUNTIFS($E$50:$K$50,"&lt;"&amp;$D$50)+COUNTIF($E$50:$K$50,"&gt;"&amp;I50)))</f>
        <v>4</v>
      </c>
      <c r="J51" s="14" cm="1">
        <f t="array" ref="J51">_xlfn.IFS(I51=4,1,I51=3,2,I51=2,3,I51=1,4,I50&lt;$D$50,"Too Fast",I50="DQ","DQ")</f>
        <v>1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M51" s="27" t="b">
        <v>0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>
        <v>4.4675925925925927E-4</v>
      </c>
      <c r="F52" s="30"/>
      <c r="G52" s="30">
        <v>4.3472222222222225E-4</v>
      </c>
      <c r="H52" s="30"/>
      <c r="I52" s="30">
        <v>4.3506944444444447E-4</v>
      </c>
      <c r="J52" s="30"/>
      <c r="K52" s="30">
        <v>3.7002314814814813E-4</v>
      </c>
      <c r="L52" s="30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4</v>
      </c>
      <c r="L53" s="14" cm="1">
        <f t="array" ref="L53">_xlfn.IFS(K53=4,1,K53=3,2,K53=2,3,K53=1,4,K52&lt;$D$52,"Too Fast",K52="DQ","DQ")</f>
        <v>1</v>
      </c>
      <c r="M53" s="27" t="b">
        <v>0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>
        <v>3.6388888888888891E-4</v>
      </c>
      <c r="F54" s="30"/>
      <c r="G54" s="30">
        <v>3.8854166666666665E-4</v>
      </c>
      <c r="H54" s="30"/>
      <c r="I54" s="30">
        <v>3.972222222222222E-4</v>
      </c>
      <c r="J54" s="30"/>
      <c r="K54" s="30">
        <v>3.7326388888888891E-4</v>
      </c>
      <c r="L54" s="30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1</v>
      </c>
      <c r="J55" s="14" cm="1">
        <f t="array" ref="J55">_xlfn.IFS(I55=4,1,I55=3,2,I55=2,3,I55=1,4,I54&lt;$D$54,"Too Fast",I54="DQ","DQ")</f>
        <v>4</v>
      </c>
      <c r="K55" s="9">
        <f>IF(K54="DQ",0,IF(K54&lt;$D$54,0,1+COUNTIFS($E$54:$K$54,"DQ")+COUNTIFS($E$54:$K$54,"&lt;"&amp;$D$54)+COUNTIF($E$54:$K$54,"&gt;"&amp;K54)))</f>
        <v>3</v>
      </c>
      <c r="L55" s="14" cm="1">
        <f t="array" ref="L55">_xlfn.IFS(K55=4,1,K55=3,2,K55=2,3,K55=1,4,K54&lt;$D$54,"Too Fast",K54="DQ","DQ")</f>
        <v>2</v>
      </c>
      <c r="M55" s="27" t="b">
        <v>0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>
        <v>2.0109953703703705E-3</v>
      </c>
      <c r="F56" s="30"/>
      <c r="G56" s="30">
        <v>1.7766203703703705E-3</v>
      </c>
      <c r="H56" s="30"/>
      <c r="I56" s="30">
        <v>1.766550925925926E-3</v>
      </c>
      <c r="J56" s="30"/>
      <c r="K56" s="30">
        <v>1.6069444444444445E-3</v>
      </c>
      <c r="L56" s="30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2</v>
      </c>
      <c r="H57" s="14" cm="1">
        <f t="array" ref="H57">_xlfn.IFS(G57=4,1,G57=3,2,G57=2,3,G57=1,4,G56&lt;$D$56,"Too Fast",G56="DQ","DQ")</f>
        <v>3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4</v>
      </c>
      <c r="L57" s="14" cm="1">
        <f t="array" ref="L57">_xlfn.IFS(K57=4,1,K57=3,2,K57=2,3,K57=1,4,K56&lt;$D$56,"Too Fast",K56="DQ","DQ")</f>
        <v>1</v>
      </c>
      <c r="M57" s="27" t="b">
        <v>0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>
        <v>1.7675925925925925E-3</v>
      </c>
      <c r="F58" s="30"/>
      <c r="G58" s="30">
        <v>1.6015046296296296E-3</v>
      </c>
      <c r="H58" s="30"/>
      <c r="I58" s="30">
        <v>1.5609953703703704E-3</v>
      </c>
      <c r="J58" s="30"/>
      <c r="K58" s="30">
        <v>1.548263888888889E-3</v>
      </c>
      <c r="L58" s="30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1</v>
      </c>
      <c r="F59" s="14" cm="1">
        <f t="array" ref="F59">_xlfn.IFS(E59=4,1,E59=3,2,E59=2,3,E59=1,4,E58&lt;$D$58,"Too Fast",E58="DQ","DQ")</f>
        <v>4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M59" s="27" t="b">
        <v>0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>
        <v>1.5810185185185185E-3</v>
      </c>
      <c r="F60" s="30"/>
      <c r="G60" s="30">
        <v>1.6465277777777776E-3</v>
      </c>
      <c r="H60" s="30"/>
      <c r="I60" s="30">
        <v>1.6670138888888889E-3</v>
      </c>
      <c r="J60" s="30"/>
      <c r="K60" s="30">
        <v>1.7741898148148148E-3</v>
      </c>
      <c r="L60" s="30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2</v>
      </c>
      <c r="J61" s="14" cm="1">
        <f t="array" ref="J61">_xlfn.IFS(I61=4,1,I61=3,2,I61=2,3,I61=1,4,I60&lt;$D$60,"Too Fast",I60="DQ","DQ")</f>
        <v>3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M61" s="27" t="b">
        <v>0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>
        <v>1.4E-3</v>
      </c>
      <c r="F62" s="30"/>
      <c r="G62" s="30">
        <v>1.4532407407407408E-3</v>
      </c>
      <c r="H62" s="30"/>
      <c r="I62" s="30">
        <v>1.4829861111111111E-3</v>
      </c>
      <c r="J62" s="30"/>
      <c r="K62" s="30">
        <v>1.5836805555555554E-3</v>
      </c>
      <c r="L62" s="30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1</v>
      </c>
      <c r="L63" s="14" cm="1">
        <f t="array" ref="L63">_xlfn.IFS(K63=4,1,K63=3,2,K63=2,3,K63=1,4,K62&lt;$D$62,"Too Fast",K62="DQ","DQ")</f>
        <v>4</v>
      </c>
      <c r="M63" s="27" t="b">
        <v>0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>
        <v>2.4918981481481482E-4</v>
      </c>
      <c r="F64" s="30"/>
      <c r="G64" s="30">
        <v>2.5138888888888889E-4</v>
      </c>
      <c r="H64" s="30"/>
      <c r="I64" s="30">
        <v>2.3668981481481482E-4</v>
      </c>
      <c r="J64" s="30"/>
      <c r="K64" s="30">
        <v>2.4155092592592593E-4</v>
      </c>
      <c r="L64" s="30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2</v>
      </c>
      <c r="F65" s="14" cm="1">
        <f t="array" ref="F65">_xlfn.IFS(E65=4,1,E65=3,2,E65=2,3,E65=1,4,E64&lt;$D$64,"Too Fast",E64="DQ","DQ")</f>
        <v>3</v>
      </c>
      <c r="G65" s="9">
        <f>IF(G64="DQ",0,IF(G64&lt;$D$64,0,1+COUNTIFS($E$64:$K$64,"DQ")+COUNTIFS($E$64:$K$64,"&lt;"&amp;$D$64)+COUNTIF($E$64:$K$64,"&gt;"&amp;G64)))</f>
        <v>1</v>
      </c>
      <c r="H65" s="14" cm="1">
        <f t="array" ref="H65">_xlfn.IFS(G65=4,1,G65=3,2,G65=2,3,G65=1,4,G64&lt;$D$64,"Too Fast",G64="DQ","DQ")</f>
        <v>4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M65" s="27" t="b">
        <v>0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>
        <v>2.9490740740740741E-4</v>
      </c>
      <c r="F66" s="30"/>
      <c r="G66" s="30">
        <v>2.5578703703703706E-4</v>
      </c>
      <c r="H66" s="30"/>
      <c r="I66" s="30">
        <v>2.1921296296296296E-4</v>
      </c>
      <c r="J66" s="30"/>
      <c r="K66" s="30">
        <v>2.1724537037037036E-4</v>
      </c>
      <c r="L66" s="30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1</v>
      </c>
      <c r="F67" s="14" cm="1">
        <f t="array" ref="F67">_xlfn.IFS(E67=4,1,E67=3,2,E67=2,3,E67=1,4,E66&lt;$D$66,"Too Fast",E66="DQ","DQ")</f>
        <v>4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4</v>
      </c>
      <c r="L67" s="14" cm="1">
        <f t="array" ref="L67">_xlfn.IFS(K67=4,1,K67=3,2,K67=2,3,K67=1,4,K66&lt;$D$66,"Too Fast",K66="DQ","DQ")</f>
        <v>1</v>
      </c>
      <c r="M67" s="27" t="b">
        <v>0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72</v>
      </c>
      <c r="F68" s="19"/>
      <c r="G68" s="19">
        <f t="shared" ref="G68:K68" si="32">G47+G49+G51+G53+G55+G57+G59+G61+G63+G65+G67</f>
        <v>74</v>
      </c>
      <c r="H68" s="19"/>
      <c r="I68" s="19">
        <f t="shared" si="32"/>
        <v>64</v>
      </c>
      <c r="J68" s="19"/>
      <c r="K68" s="19">
        <f t="shared" si="32"/>
        <v>81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>
        <v>5.3819444444444444E-4</v>
      </c>
      <c r="F69" s="29"/>
      <c r="G69" s="28">
        <v>5.5381944444444445E-4</v>
      </c>
      <c r="H69" s="29"/>
      <c r="I69" s="28">
        <v>5.859953703703704E-4</v>
      </c>
      <c r="J69" s="29"/>
      <c r="K69" s="28">
        <v>4.1898148148148149E-4</v>
      </c>
      <c r="L69" s="29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  <c r="M70" s="27" t="b">
        <v>0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>
        <v>5.9826388888888885E-4</v>
      </c>
      <c r="F71" s="29"/>
      <c r="G71" s="28">
        <v>4.6736111111111116E-4</v>
      </c>
      <c r="H71" s="29"/>
      <c r="I71" s="28">
        <v>4.7754629629629628E-4</v>
      </c>
      <c r="J71" s="29"/>
      <c r="K71" s="28">
        <v>3.9444444444444444E-4</v>
      </c>
      <c r="L71" s="29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2</v>
      </c>
      <c r="F72" s="14" cm="1">
        <f t="array" ref="F72">_xlfn.IFS(E72=4,1,E72=3,2,E72=2,3,E72=1,4,E71&lt;$D$71,"Too Fast",E71="DQ","DQ")</f>
        <v>3</v>
      </c>
      <c r="G72" s="9">
        <f>IF(G71="DQ",0,IF(G71&lt;$D$71,0,1+COUNTIFS($E$71:$K$71,"DQ")+COUNTIFS($E$71:$K$71,"&lt;"&amp;$D$71)+COUNTIF($E$71:$K$71,"&gt;"&amp;G71)))</f>
        <v>4</v>
      </c>
      <c r="H72" s="14" cm="1">
        <f t="array" ref="H72">_xlfn.IFS(G72=4,1,G72=3,2,G72=2,3,G72=1,4,G71&lt;$D$71,"Too Fast",G71="DQ","DQ")</f>
        <v>1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0</v>
      </c>
      <c r="L72" s="14" t="str" cm="1">
        <f t="array" ref="L72">_xlfn.IFS(K72=4,1,K72=3,2,K72=2,3,K72=1,4,K71&lt;$D$71,"Too Fast",K71="DQ","DQ")</f>
        <v>Too Fast</v>
      </c>
      <c r="M72" s="27" t="b">
        <v>0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>
        <v>3.8356481481481483E-4</v>
      </c>
      <c r="F73" s="29"/>
      <c r="G73" s="28">
        <v>3.5046296296296296E-4</v>
      </c>
      <c r="H73" s="29"/>
      <c r="I73" s="28">
        <v>4.1689814814814817E-4</v>
      </c>
      <c r="J73" s="29"/>
      <c r="K73" s="28">
        <v>3.634259259259259E-4</v>
      </c>
      <c r="L73" s="29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4</v>
      </c>
      <c r="H74" s="14" cm="1">
        <f t="array" ref="H74">_xlfn.IFS(G74=4,1,G74=3,2,G74=2,3,G74=1,4,G73&lt;$D$73,"Too Fast",G73="DQ","DQ")</f>
        <v>1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3</v>
      </c>
      <c r="L74" s="14" cm="1">
        <f t="array" ref="L74">_xlfn.IFS(K74=4,1,K74=3,2,K74=2,3,K74=1,4,K73&lt;$D$73,"Too Fast",K73="DQ","DQ")</f>
        <v>2</v>
      </c>
      <c r="M74" s="27" t="b">
        <v>0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>
        <v>3.8356481481481483E-4</v>
      </c>
      <c r="F75" s="29"/>
      <c r="G75" s="28">
        <v>3.5416666666666669E-4</v>
      </c>
      <c r="H75" s="29"/>
      <c r="I75" s="28">
        <v>3.429398148148148E-4</v>
      </c>
      <c r="J75" s="29"/>
      <c r="K75" s="28">
        <v>3.2789351851851849E-4</v>
      </c>
      <c r="L75" s="29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4</v>
      </c>
      <c r="L76" s="14" cm="1">
        <f t="array" ref="L76">_xlfn.IFS(K76=4,1,K76=3,2,K76=2,3,K76=1,4,K75&lt;$D$75,"Too Fast",K75="DQ","DQ")</f>
        <v>1</v>
      </c>
      <c r="M76" s="27" t="b">
        <v>0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>
        <v>1.1246527777777778E-3</v>
      </c>
      <c r="F77" s="29"/>
      <c r="G77" s="28">
        <v>1.1560185185185185E-3</v>
      </c>
      <c r="H77" s="29"/>
      <c r="I77" s="28">
        <v>1.0131944444444444E-3</v>
      </c>
      <c r="J77" s="29"/>
      <c r="K77" s="28">
        <v>9.5185185185185184E-4</v>
      </c>
      <c r="L77" s="29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1</v>
      </c>
      <c r="H78" s="14" cm="1">
        <f t="array" ref="H78">_xlfn.IFS(G78=4,1,G78=3,2,G78=2,3,G78=1,4,G77&lt;$D$77,"Too Fast",G77="DQ","DQ")</f>
        <v>4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4</v>
      </c>
      <c r="L78" s="14" cm="1">
        <f t="array" ref="L78">_xlfn.IFS(K78=4,1,K78=3,2,K78=2,3,K78=1,4,K77&lt;$D$77,"Too Fast",K77="DQ","DQ")</f>
        <v>1</v>
      </c>
      <c r="M78" s="27" t="b">
        <v>0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>
        <v>9.5810185185185191E-4</v>
      </c>
      <c r="F79" s="29"/>
      <c r="G79" s="28">
        <v>9.6932870370370369E-4</v>
      </c>
      <c r="H79" s="29"/>
      <c r="I79" s="28">
        <v>9.8090277777777781E-4</v>
      </c>
      <c r="J79" s="29"/>
      <c r="K79" s="28">
        <v>9.7835648148148152E-4</v>
      </c>
      <c r="L79" s="29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4</v>
      </c>
      <c r="F80" s="14" cm="1">
        <f t="array" ref="F80">_xlfn.IFS(E80=4,1,E80=3,2,E80=2,3,E80=1,4,E79&lt;$D$79,"Too Fast",E79="DQ","DQ")</f>
        <v>1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1</v>
      </c>
      <c r="J80" s="14" cm="1">
        <f t="array" ref="J80">_xlfn.IFS(I80=4,1,I80=3,2,I80=2,3,I80=1,4,I79&lt;$D$79,"Too Fast",I79="DQ","DQ")</f>
        <v>4</v>
      </c>
      <c r="K80" s="9">
        <f>IF(K79="DQ",0,IF(K79&lt;$D$79,0,1+COUNTIFS($E$79:$K$79,"DQ")+COUNTIFS($E$79:$K$79,"&lt;"&amp;$D$79)+COUNTIF($E$79:$K$79,"&gt;"&amp;K79)))</f>
        <v>2</v>
      </c>
      <c r="L80" s="14" cm="1">
        <f t="array" ref="L80">_xlfn.IFS(K80=4,1,K80=3,2,K80=2,3,K80=1,4,K79&lt;$D$79,"Too Fast",K79="DQ","DQ")</f>
        <v>3</v>
      </c>
      <c r="M80" s="27" t="b">
        <v>0</v>
      </c>
    </row>
    <row r="81" spans="1:13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>
        <v>8.9317129629629631E-4</v>
      </c>
      <c r="F81" s="29"/>
      <c r="G81" s="28" t="s">
        <v>105</v>
      </c>
      <c r="H81" s="29"/>
      <c r="I81" s="28">
        <v>8.6018518518518508E-4</v>
      </c>
      <c r="J81" s="29"/>
      <c r="K81" s="28">
        <v>8.5081018518518524E-4</v>
      </c>
      <c r="L81" s="29"/>
    </row>
    <row r="82" spans="1:13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2</v>
      </c>
      <c r="F82" s="14" cm="1">
        <f t="array" ref="F82">_xlfn.IFS(E82=4,1,E82=3,2,E82=2,3,E82=1,4,E81&lt;$D$81,"Too Fast",E81="DQ","DQ")</f>
        <v>3</v>
      </c>
      <c r="G82" s="9">
        <f>IF(G81="DQ",0,IF(G81&lt;$D$81,0,1+COUNTIFS($E$81:$K$81,"DQ")+COUNTIFS($E$81:$K$81,"&lt;"&amp;$D$81)+COUNTIF($E$81:$K$81,"&gt;"&amp;G81)))</f>
        <v>0</v>
      </c>
      <c r="H82" s="14" t="str" cm="1">
        <f t="array" ref="H82">_xlfn.IFS(G82=4,1,G82=3,2,G82=2,3,G82=1,4,G81&lt;$D$81,"Too Fast",G81="DQ","DQ")</f>
        <v>DQ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  <c r="M82" s="27" t="b">
        <v>0</v>
      </c>
    </row>
    <row r="83" spans="1:13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>
        <v>8.8969907407407411E-4</v>
      </c>
      <c r="F83" s="29"/>
      <c r="G83" s="28">
        <v>9.3680555555555553E-4</v>
      </c>
      <c r="H83" s="29"/>
      <c r="I83" s="28">
        <v>9.3900462962962959E-4</v>
      </c>
      <c r="J83" s="29"/>
      <c r="K83" s="28">
        <v>8.1365740740740736E-4</v>
      </c>
      <c r="L83" s="29"/>
    </row>
    <row r="84" spans="1:13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3</v>
      </c>
      <c r="F84" s="14" cm="1">
        <f t="array" ref="F84">_xlfn.IFS(E84=4,1,E84=3,2,E84=2,3,E84=1,4,E83&lt;$D$83,"Too Fast",E83="DQ","DQ")</f>
        <v>2</v>
      </c>
      <c r="G84" s="9">
        <f>IF(G83="DQ",0,IF(G83&lt;$D$83,0,1+COUNTIFS($E$83:$K$83,"DQ")+COUNTIFS($E$83:$K$83,"&lt;"&amp;$D$83)+COUNTIF($E$83:$K$83,"&gt;"&amp;G83)))</f>
        <v>2</v>
      </c>
      <c r="H84" s="14" cm="1">
        <f t="array" ref="H84">_xlfn.IFS(G84=4,1,G84=3,2,G84=2,3,G84=1,4,G83&lt;$D$83,"Too Fast",G83="DQ","DQ")</f>
        <v>3</v>
      </c>
      <c r="I84" s="9">
        <f>IF(I83="DQ",0,IF(I83&lt;$D$83,0,1+COUNTIFS($E$83:$K$83,"DQ")+COUNTIFS($E$83:$K$83,"&lt;"&amp;$D$83)+COUNTIF($E$83:$K$83,"&gt;"&amp;I83)))</f>
        <v>1</v>
      </c>
      <c r="J84" s="14" cm="1">
        <f t="array" ref="J84">_xlfn.IFS(I84=4,1,I84=3,2,I84=2,3,I84=1,4,I83&lt;$D$83,"Too Fast",I83="DQ","DQ")</f>
        <v>4</v>
      </c>
      <c r="K84" s="9">
        <f>IF(K83="DQ",0,IF(K83&lt;$D$83,0,1+COUNTIFS($E$83:$K$83,"DQ")+COUNTIFS($E$83:$K$83,"&lt;"&amp;$D$83)+COUNTIF($E$83:$K$83,"&gt;"&amp;K83)))</f>
        <v>4</v>
      </c>
      <c r="L84" s="14" cm="1">
        <f t="array" ref="L84">_xlfn.IFS(K84=4,1,K84=3,2,K84=2,3,K84=1,4,K83&lt;$D$83,"Too Fast",K83="DQ","DQ")</f>
        <v>1</v>
      </c>
      <c r="M84" s="27" t="b">
        <v>0</v>
      </c>
    </row>
    <row r="85" spans="1:13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>
        <v>9.5601851851851848E-4</v>
      </c>
      <c r="F85" s="29"/>
      <c r="G85" s="28">
        <v>1.0059027777777777E-3</v>
      </c>
      <c r="H85" s="29"/>
      <c r="I85" s="28">
        <v>9.7951388888888893E-4</v>
      </c>
      <c r="J85" s="29"/>
      <c r="K85" s="28">
        <v>8.3391203703703698E-4</v>
      </c>
      <c r="L85" s="29"/>
    </row>
    <row r="86" spans="1:13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1</v>
      </c>
      <c r="H86" s="14" cm="1">
        <f t="array" ref="H86">_xlfn.IFS(G86=4,1,G86=3,2,G86=2,3,G86=1,4,G85&lt;$D$85,"Too Fast",G85="DQ","DQ")</f>
        <v>4</v>
      </c>
      <c r="I86" s="9">
        <f>IF(I85="DQ",0,IF(I85&lt;$D$85,0,1+COUNTIFS($E$85:$K$85,"DQ")+COUNTIFS($E$85:$K$85,"&lt;"&amp;$D$85)+COUNTIF($E$85:$K$85,"&gt;"&amp;I85)))</f>
        <v>2</v>
      </c>
      <c r="J86" s="14" cm="1">
        <f t="array" ref="J86">_xlfn.IFS(I86=4,1,I86=3,2,I86=2,3,I86=1,4,I85&lt;$D$85,"Too Fast",I85="DQ","DQ")</f>
        <v>3</v>
      </c>
      <c r="K86" s="9">
        <f>IF(K85="DQ",0,IF(K85&lt;$D$85,0,1+COUNTIFS($E$85:$K$85,"DQ")+COUNTIFS($E$85:$K$85,"&lt;"&amp;$D$85)+COUNTIF($E$85:$K$85,"&gt;"&amp;K85)))</f>
        <v>4</v>
      </c>
      <c r="L86" s="14" cm="1">
        <f t="array" ref="L86">_xlfn.IFS(K86=4,1,K86=3,2,K86=2,3,K86=1,4,K85&lt;$D$85,"Too Fast",K85="DQ","DQ")</f>
        <v>1</v>
      </c>
      <c r="M86" s="27" t="b">
        <v>0</v>
      </c>
    </row>
    <row r="87" spans="1:13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>
        <v>9.2442129629629634E-4</v>
      </c>
      <c r="F87" s="29"/>
      <c r="G87" s="28">
        <v>9.3252314814814804E-4</v>
      </c>
      <c r="H87" s="29"/>
      <c r="I87" s="28">
        <v>8.5659722222222224E-4</v>
      </c>
      <c r="J87" s="29"/>
      <c r="K87" s="28">
        <v>7.8877314814814825E-4</v>
      </c>
      <c r="L87" s="29"/>
    </row>
    <row r="88" spans="1:13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1</v>
      </c>
      <c r="H88" s="14" cm="1">
        <f t="array" ref="H88">_xlfn.IFS(G88=4,1,G88=3,2,G88=2,3,G88=1,4,G87&lt;$D$87,"Too Fast",G87="DQ","DQ")</f>
        <v>4</v>
      </c>
      <c r="I88" s="9">
        <f>IF(I87="DQ",0,IF(I87&lt;$D$87,0,1+COUNTIFS($E$87:$K$87,"DQ")+COUNTIFS($E$87:$K$87,"&lt;"&amp;$D$87)+COUNTIF($E$87:$K$87,"&gt;"&amp;I87)))</f>
        <v>3</v>
      </c>
      <c r="J88" s="14" cm="1">
        <f t="array" ref="J88">_xlfn.IFS(I88=4,1,I88=3,2,I88=2,3,I88=1,4,I87&lt;$D$87,"Too Fast",I87="DQ","DQ")</f>
        <v>2</v>
      </c>
      <c r="K88" s="9">
        <f>IF(K87="DQ",0,IF(K87&lt;$D$87,0,1+COUNTIFS($E$87:$K$87,"DQ")+COUNTIFS($E$87:$K$87,"&lt;"&amp;$D$87)+COUNTIF($E$87:$K$87,"&gt;"&amp;K87)))</f>
        <v>4</v>
      </c>
      <c r="L88" s="14" cm="1">
        <f t="array" ref="L88">_xlfn.IFS(K88=4,1,K88=3,2,K88=2,3,K88=1,4,K87&lt;$D$87,"Too Fast",K87="DQ","DQ")</f>
        <v>1</v>
      </c>
      <c r="M88" s="27" t="b">
        <v>0</v>
      </c>
    </row>
    <row r="89" spans="1:13" x14ac:dyDescent="0.35">
      <c r="A89" s="2"/>
      <c r="B89" s="12" t="s">
        <v>63</v>
      </c>
      <c r="C89" s="3"/>
      <c r="D89" s="16"/>
      <c r="E89" s="19">
        <f>E68+E70+E72+E74+E76+E78+E80+E82+E84+E86+E88</f>
        <v>96</v>
      </c>
      <c r="F89" s="19"/>
      <c r="G89" s="19">
        <f t="shared" ref="G89:K89" si="33">G68+G70+G72+G74+G76+G78+G80+G82+G84+G86+G88</f>
        <v>94</v>
      </c>
      <c r="H89" s="19"/>
      <c r="I89" s="19">
        <f t="shared" si="33"/>
        <v>85</v>
      </c>
      <c r="J89" s="19"/>
      <c r="K89" s="19">
        <f t="shared" si="33"/>
        <v>114</v>
      </c>
      <c r="L89" s="18"/>
    </row>
    <row r="90" spans="1:13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>
        <v>5.8356481481481486E-4</v>
      </c>
      <c r="F90" s="29"/>
      <c r="G90" s="28">
        <v>3.826388888888889E-4</v>
      </c>
      <c r="H90" s="29"/>
      <c r="I90" s="28">
        <v>4.1168981481481482E-4</v>
      </c>
      <c r="J90" s="29"/>
      <c r="K90" s="28">
        <v>4.1168981481481482E-4</v>
      </c>
      <c r="L90" s="29"/>
    </row>
    <row r="91" spans="1:13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4</v>
      </c>
      <c r="H91" s="14" cm="1">
        <f t="array" ref="H91">_xlfn.IFS(G91=4,1,G91=3,2,G91=2,3,G91=1,4,G90&lt;$D$90,"Too Fast",G90="DQ","DQ")</f>
        <v>1</v>
      </c>
      <c r="I91" s="9">
        <f>IF(I90="DQ",0,IF(I90&lt;$D$90,0,1+COUNTIFS($E$90:$K$90,"DQ")+COUNTIFS($E$90:$K$90,"&lt;"&amp;$D$90)+COUNTIF($E$90:$K$90,"&gt;"&amp;I90)))</f>
        <v>2</v>
      </c>
      <c r="J91" s="14" cm="1">
        <f t="array" ref="J91">_xlfn.IFS(I91=4,1,I91=3,2,I91=2,3,I91=1,4,I90&lt;$D$90,"Too Fast",I90="DQ","DQ")</f>
        <v>3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  <c r="M91" s="27" t="b">
        <v>0</v>
      </c>
    </row>
    <row r="92" spans="1:13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>
        <v>3.9386574074074074E-4</v>
      </c>
      <c r="F92" s="29"/>
      <c r="G92" s="28">
        <v>4.0115740740740737E-4</v>
      </c>
      <c r="H92" s="29"/>
      <c r="I92" s="28">
        <v>4.253472222222222E-4</v>
      </c>
      <c r="J92" s="29"/>
      <c r="K92" s="28">
        <v>3.7650462962962963E-4</v>
      </c>
      <c r="L92" s="29"/>
    </row>
    <row r="93" spans="1:13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1</v>
      </c>
      <c r="J93" s="14" cm="1">
        <f t="array" ref="J93">_xlfn.IFS(I93=4,1,I93=3,2,I93=2,3,I93=1,4,I92&lt;$D$92,"Too Fast",I92="DQ","DQ")</f>
        <v>4</v>
      </c>
      <c r="K93" s="9">
        <f>IF(K92="DQ",0,IF(K92&lt;$D$92,0,1+COUNTIFS($E$92:$K$92,"DQ")+COUNTIFS($E$92:$K$92,"&lt;"&amp;$D$92)+COUNTIF($E$92:$K$92,"&gt;"&amp;K92)))</f>
        <v>4</v>
      </c>
      <c r="L93" s="14" cm="1">
        <f t="array" ref="L93">_xlfn.IFS(K93=4,1,K93=3,2,K93=2,3,K93=1,4,K92&lt;$D$92,"Too Fast",K92="DQ","DQ")</f>
        <v>1</v>
      </c>
      <c r="M93" s="27" t="b">
        <v>0</v>
      </c>
    </row>
    <row r="94" spans="1:13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>
        <v>8.6307870370370358E-4</v>
      </c>
      <c r="F94" s="29"/>
      <c r="G94" s="28">
        <v>8.0868055555555565E-4</v>
      </c>
      <c r="H94" s="29"/>
      <c r="I94" s="28">
        <v>7.8715277777777779E-4</v>
      </c>
      <c r="J94" s="29"/>
      <c r="K94" s="28">
        <v>7.3645833333333332E-4</v>
      </c>
      <c r="L94" s="29"/>
    </row>
    <row r="95" spans="1:13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1</v>
      </c>
      <c r="F95" s="14" cm="1">
        <f t="array" ref="F95">_xlfn.IFS(E95=4,1,E95=3,2,E95=2,3,E95=1,4,E94&lt;$D$94,"Too Fast",E94="DQ","DQ")</f>
        <v>4</v>
      </c>
      <c r="G95" s="9">
        <f>IF(G94="DQ",0,IF(G94&lt;$D$94,0,1+COUNTIFS($E$94:$K$94,"DQ")+COUNTIFS($E$94:$K$94,"&lt;"&amp;$D$94)+COUNTIF($E$94:$K$94,"&gt;"&amp;G94)))</f>
        <v>2</v>
      </c>
      <c r="H95" s="14" cm="1">
        <f t="array" ref="H95">_xlfn.IFS(G95=4,1,G95=3,2,G95=2,3,G95=1,4,G94&lt;$D$94,"Too Fast",G94="DQ","DQ")</f>
        <v>3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4</v>
      </c>
      <c r="L95" s="14" cm="1">
        <f t="array" ref="L95">_xlfn.IFS(K95=4,1,K95=3,2,K95=2,3,K95=1,4,K94&lt;$D$94,"Too Fast",K94="DQ","DQ")</f>
        <v>1</v>
      </c>
      <c r="M95" s="27" t="b">
        <v>0</v>
      </c>
    </row>
    <row r="96" spans="1:13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>
        <v>6.4664351851851851E-4</v>
      </c>
      <c r="F96" s="29"/>
      <c r="G96" s="28">
        <v>7.5844907407407404E-4</v>
      </c>
      <c r="H96" s="29"/>
      <c r="I96" s="28">
        <v>6.7430555555555549E-4</v>
      </c>
      <c r="J96" s="29"/>
      <c r="K96" s="28">
        <v>7.2256944444444441E-4</v>
      </c>
      <c r="L96" s="29"/>
    </row>
    <row r="97" spans="1:13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4</v>
      </c>
      <c r="F97" s="14" cm="1">
        <f t="array" ref="F97">_xlfn.IFS(E97=4,1,E97=3,2,E97=2,3,E97=1,4,E96&lt;$D$96,"Too Fast",E96="DQ","DQ")</f>
        <v>1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  <c r="M97" s="27" t="b">
        <v>0</v>
      </c>
    </row>
    <row r="98" spans="1:13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>
        <v>2.9513888888888889E-4</v>
      </c>
      <c r="F98" s="29"/>
      <c r="G98" s="28">
        <v>2.5219907407407407E-4</v>
      </c>
      <c r="H98" s="29"/>
      <c r="I98" s="28">
        <v>2.7349537037037034E-4</v>
      </c>
      <c r="J98" s="29"/>
      <c r="K98" s="28">
        <v>2.8437500000000001E-4</v>
      </c>
      <c r="L98" s="29"/>
    </row>
    <row r="99" spans="1:13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  <c r="M99" s="27" t="b">
        <v>0</v>
      </c>
    </row>
    <row r="100" spans="1:13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>
        <v>2.7546296296296298E-4</v>
      </c>
      <c r="F100" s="29"/>
      <c r="G100" s="28">
        <v>2.4456018518518517E-4</v>
      </c>
      <c r="H100" s="29"/>
      <c r="I100" s="28">
        <v>2.7557870370370366E-4</v>
      </c>
      <c r="J100" s="29"/>
      <c r="K100" s="28">
        <v>2.5127314814814815E-4</v>
      </c>
      <c r="L100" s="29"/>
    </row>
    <row r="101" spans="1:13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3</v>
      </c>
      <c r="L101" s="14" cm="1">
        <f t="array" ref="L101">_xlfn.IFS(K101=4,1,K101=3,2,K101=2,3,K101=1,4,K100&lt;$D$100,"Too Fast",K100="DQ","DQ")</f>
        <v>2</v>
      </c>
      <c r="M101" s="27" t="b">
        <v>0</v>
      </c>
    </row>
    <row r="102" spans="1:13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>
        <v>5.0671296296296293E-4</v>
      </c>
      <c r="F102" s="29"/>
      <c r="G102" s="28">
        <v>5.1284722222222226E-4</v>
      </c>
      <c r="H102" s="29"/>
      <c r="I102" s="28">
        <v>5.392361111111111E-4</v>
      </c>
      <c r="J102" s="29"/>
      <c r="K102" s="28">
        <v>4.6134259259259257E-4</v>
      </c>
      <c r="L102" s="29"/>
    </row>
    <row r="103" spans="1:13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3</v>
      </c>
      <c r="F103" s="14" cm="1">
        <f t="array" ref="F103">_xlfn.IFS(E103=4,1,E103=3,2,E103=2,3,E103=1,4,E102&lt;$D$102,"Too Fast",E102="DQ","DQ")</f>
        <v>2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4</v>
      </c>
      <c r="L103" s="14" cm="1">
        <f t="array" ref="L103">_xlfn.IFS(K103=4,1,K103=3,2,K103=2,3,K103=1,4,K102&lt;$D$102,"Too Fast",K102="DQ","DQ")</f>
        <v>1</v>
      </c>
      <c r="M103" s="27" t="b">
        <v>0</v>
      </c>
    </row>
    <row r="104" spans="1:13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>
        <v>5.1539351851851854E-4</v>
      </c>
      <c r="F104" s="29"/>
      <c r="G104" s="28">
        <v>5.0023148148148149E-4</v>
      </c>
      <c r="H104" s="29"/>
      <c r="I104" s="28">
        <v>4.3912037037037037E-4</v>
      </c>
      <c r="J104" s="29"/>
      <c r="K104" s="28">
        <v>4.1099537037037032E-4</v>
      </c>
      <c r="L104" s="29"/>
    </row>
    <row r="105" spans="1:13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2</v>
      </c>
      <c r="F105" s="14" cm="1">
        <f t="array" ref="F105">_xlfn.IFS(E105=4,1,E105=3,2,E105=2,3,E105=1,4,E104&lt;$D$104,"Too Fast",E104="DQ","DQ")</f>
        <v>3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0</v>
      </c>
      <c r="L105" s="14" t="str" cm="1">
        <f t="array" ref="L105">_xlfn.IFS(K105=4,1,K105=3,2,K105=2,3,K105=1,4,K104&lt;$D$104,"Too Fast",K104="DQ","DQ")</f>
        <v>Too Fast</v>
      </c>
      <c r="M105" s="27" t="b">
        <v>0</v>
      </c>
    </row>
    <row r="106" spans="1:13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>
        <v>1.621296296296296E-3</v>
      </c>
      <c r="F106" s="29"/>
      <c r="G106" s="28">
        <v>1.5403935185185186E-3</v>
      </c>
      <c r="H106" s="29"/>
      <c r="I106" s="28">
        <v>1.5995370370370369E-3</v>
      </c>
      <c r="J106" s="29"/>
      <c r="K106" s="28">
        <v>1.4390046296296297E-3</v>
      </c>
      <c r="L106" s="29"/>
    </row>
    <row r="107" spans="1:13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2</v>
      </c>
      <c r="J107" s="14" cm="1">
        <f t="array" ref="J107">_xlfn.IFS(I107=4,1,I107=3,2,I107=2,3,I107=1,4,I106&lt;$D$106,"Too Fast",I106="DQ","DQ")</f>
        <v>3</v>
      </c>
      <c r="K107" s="9">
        <f>IF(K106="DQ",0,IF(K106&lt;$D$106,0,1+COUNTIFS($E$106:$K$106,"DQ")+COUNTIFS($E$106:$K$106,"&lt;"&amp;$D$106)+COUNTIF($E$106:$K$106,"&gt;"&amp;K106)))</f>
        <v>4</v>
      </c>
      <c r="L107" s="14" cm="1">
        <f t="array" ref="L107">_xlfn.IFS(K107=4,1,K107=3,2,K107=2,3,K107=1,4,K106&lt;$D$106,"Too Fast",K106="DQ","DQ")</f>
        <v>1</v>
      </c>
      <c r="M107" s="27" t="b">
        <v>0</v>
      </c>
    </row>
    <row r="108" spans="1:13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>
        <v>1.547337962962963E-3</v>
      </c>
      <c r="F108" s="29"/>
      <c r="G108" s="28">
        <v>1.3863425925925927E-3</v>
      </c>
      <c r="H108" s="29"/>
      <c r="I108" s="28">
        <v>1.4105324074074074E-3</v>
      </c>
      <c r="J108" s="29"/>
      <c r="K108" s="28">
        <v>1.3553240740740741E-3</v>
      </c>
      <c r="L108" s="29"/>
    </row>
    <row r="109" spans="1:13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2</v>
      </c>
      <c r="J109" s="14" cm="1">
        <f t="array" ref="J109">_xlfn.IFS(I109=4,1,I109=3,2,I109=2,3,I109=1,4,I108&lt;$D$108,"Too Fast",I108="DQ","DQ")</f>
        <v>3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  <c r="M109" s="27" t="b">
        <v>0</v>
      </c>
    </row>
    <row r="110" spans="1:13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>
        <v>1.6163194444444445E-3</v>
      </c>
      <c r="F110" s="29"/>
      <c r="G110" s="28">
        <v>1.4528935185185185E-3</v>
      </c>
      <c r="H110" s="29"/>
      <c r="I110" s="28">
        <v>1.5185185185185184E-3</v>
      </c>
      <c r="J110" s="29"/>
      <c r="K110" s="28">
        <v>1.3966435185185186E-3</v>
      </c>
      <c r="L110" s="29"/>
    </row>
    <row r="111" spans="1:13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1</v>
      </c>
      <c r="F111" s="14" cm="1">
        <f t="array" ref="F111">_xlfn.IFS(E111=4,1,E111=3,2,E111=2,3,E111=1,4,E110&lt;$D$110,"Too Fast",E110="DQ","DQ")</f>
        <v>4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4</v>
      </c>
      <c r="L111" s="14" cm="1">
        <f t="array" ref="L111">_xlfn.IFS(K111=4,1,K111=3,2,K111=2,3,K111=1,4,K110&lt;$D$110,"Too Fast",K110="DQ","DQ")</f>
        <v>1</v>
      </c>
      <c r="M111" s="27" t="b">
        <v>0</v>
      </c>
    </row>
    <row r="112" spans="1:13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>
        <v>1.2583333333333333E-3</v>
      </c>
      <c r="F112" s="29"/>
      <c r="G112" s="28">
        <v>1.2944444444444444E-3</v>
      </c>
      <c r="H112" s="29"/>
      <c r="I112" s="28">
        <v>1.3383101851851852E-3</v>
      </c>
      <c r="J112" s="29"/>
      <c r="K112" s="28">
        <v>1.3394675925925924E-3</v>
      </c>
      <c r="L112" s="29"/>
    </row>
    <row r="113" spans="1:13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4</v>
      </c>
      <c r="F113" s="14" cm="1">
        <f t="array" ref="F113">_xlfn.IFS(E113=4,1,E113=3,2,E113=2,3,E113=1,4,E112&lt;$D$112,"Too Fast",E112="DQ","DQ")</f>
        <v>1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1</v>
      </c>
      <c r="L113" s="14" cm="1">
        <f t="array" ref="L113">_xlfn.IFS(K113=4,1,K113=3,2,K113=2,3,K113=1,4,K112&lt;$D$112,"Too Fast",K112="DQ","DQ")</f>
        <v>4</v>
      </c>
      <c r="M113" s="27" t="b">
        <v>0</v>
      </c>
    </row>
    <row r="114" spans="1:13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>
        <v>1.5486111111111113E-3</v>
      </c>
      <c r="F114" s="29"/>
      <c r="G114" s="28">
        <v>1.4305555555555556E-3</v>
      </c>
      <c r="H114" s="29"/>
      <c r="I114" s="28">
        <v>1.4606481481481482E-3</v>
      </c>
      <c r="J114" s="29"/>
      <c r="K114" s="28">
        <v>1.3395833333333335E-3</v>
      </c>
      <c r="L114" s="29"/>
    </row>
    <row r="115" spans="1:13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1</v>
      </c>
      <c r="F115" s="14" cm="1">
        <f t="array" ref="F115">_xlfn.IFS(E115=4,1,E115=3,2,E115=2,3,E115=1,4,E114&lt;$D$114,"Too Fast",E114="DQ","DQ")</f>
        <v>4</v>
      </c>
      <c r="G115" s="9">
        <f>IF(G114="DQ",0,IF(G114&lt;$D$114,0,1+COUNTIFS($E$114:$K$114,"DQ")+COUNTIFS($E$114:$K$114,"&lt;"&amp;$D$114)+COUNTIF($E$114:$K$114,"&gt;"&amp;G114)))</f>
        <v>3</v>
      </c>
      <c r="H115" s="14" cm="1">
        <f t="array" ref="H115">_xlfn.IFS(G115=4,1,G115=3,2,G115=2,3,G115=1,4,G114&lt;$D$114,"Too Fast",G114="DQ","DQ")</f>
        <v>2</v>
      </c>
      <c r="I115" s="9">
        <f>IF(I114="DQ",0,IF(I114&lt;$D$114,0,1+COUNTIFS($E$114:$K$114,"DQ")+COUNTIFS($E$114:$K$114,"&lt;"&amp;$D$114)+COUNTIF($E$114:$K$114,"&gt;"&amp;I114)))</f>
        <v>2</v>
      </c>
      <c r="J115" s="14" cm="1">
        <f t="array" ref="J115">_xlfn.IFS(I115=4,1,I115=3,2,I115=2,3,I115=1,4,I114&lt;$D$114,"Too Fast",I114="DQ","DQ")</f>
        <v>3</v>
      </c>
      <c r="K115" s="9">
        <f>IF(K114="DQ",0,IF(K114&lt;$D$114,0,1+COUNTIFS($E$114:$K$114,"DQ")+COUNTIFS($E$114:$K$114,"&lt;"&amp;$D$114)+COUNTIF($E$114:$K$114,"&gt;"&amp;K114)))</f>
        <v>4</v>
      </c>
      <c r="L115" s="14" cm="1">
        <f t="array" ref="L115">_xlfn.IFS(K115=4,1,K115=3,2,K115=2,3,K115=1,4,K114&lt;$D$114,"Too Fast",K114="DQ","DQ")</f>
        <v>1</v>
      </c>
      <c r="M115" s="27" t="b">
        <v>0</v>
      </c>
    </row>
    <row r="116" spans="1:13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121</v>
      </c>
      <c r="F116" s="19"/>
      <c r="G116" s="19">
        <f t="shared" ref="G116:K116" si="34">G89+G91+G93+G95+G97+G99+G101+G103+G105+G107+G109+G111+G113+G115</f>
        <v>131</v>
      </c>
      <c r="H116" s="19"/>
      <c r="I116" s="19">
        <f t="shared" si="34"/>
        <v>113</v>
      </c>
      <c r="J116" s="19"/>
      <c r="K116" s="19">
        <f t="shared" si="34"/>
        <v>152</v>
      </c>
      <c r="L116" s="1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32" priority="3" operator="containsText" text="dns">
      <formula>NOT(ISERROR(SEARCH("dns",E6)))</formula>
    </cfRule>
    <cfRule type="containsText" dxfId="31" priority="4" operator="containsText" text="02;">
      <formula>NOT(ISERROR(SEARCH("02;",E6)))</formula>
    </cfRule>
    <cfRule type="containsText" dxfId="30" priority="5" operator="containsText" text="01;">
      <formula>NOT(ISERROR(SEARCH("01;",E6)))</formula>
    </cfRule>
    <cfRule type="containsText" dxfId="29" priority="6" operator="containsText" text="00;">
      <formula>NOT(ISERROR(SEARCH("00;",E6)))</formula>
    </cfRule>
    <cfRule type="containsText" dxfId="28" priority="11" operator="containsText" text="02.">
      <formula>NOT(ISERROR(SEARCH("02.",E6)))</formula>
    </cfRule>
    <cfRule type="containsText" dxfId="27" priority="12" operator="containsText" text="01.">
      <formula>NOT(ISERROR(SEARCH("01.",E6)))</formula>
    </cfRule>
    <cfRule type="containsText" dxfId="26" priority="13" operator="containsText" text="00.">
      <formula>NOT(ISERROR(SEARCH("00.",E6)))</formula>
    </cfRule>
  </conditionalFormatting>
  <conditionalFormatting sqref="M1:M1048576">
    <cfRule type="containsText" dxfId="25" priority="1" operator="containsText" text="TRUE">
      <formula>NOT(ISERROR(SEARCH("TRUE",M1)))</formula>
    </cfRule>
    <cfRule type="containsText" dxfId="24" priority="2" operator="containsText" text="FALSE">
      <formula>NOT(ISERROR(SEARCH("FALSE",M1)))</formula>
    </cfRule>
  </conditionalFormatting>
  <pageMargins left="0.70866141732283472" right="0.70866141732283472" top="0.74803149606299213" bottom="0.74803149606299213" header="0.31496062992125984" footer="0.31496062992125984"/>
  <pageSetup paperSize="9" scale="90" fitToHeight="4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4" width="10.08984375" customWidth="1"/>
    <col min="15" max="16" width="3.453125" customWidth="1"/>
    <col min="17" max="17" width="14.36328125" customWidth="1"/>
    <col min="18" max="18" width="24" customWidth="1"/>
    <col min="19" max="19" width="9.54296875" bestFit="1" customWidth="1"/>
    <col min="20" max="24" width="11.36328125" bestFit="1" customWidth="1"/>
    <col min="27" max="27" width="12" customWidth="1"/>
  </cols>
  <sheetData>
    <row r="1" spans="1:27" ht="18.5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27" x14ac:dyDescent="0.35">
      <c r="Q2" s="33" t="s">
        <v>1</v>
      </c>
      <c r="R2" s="37"/>
      <c r="S2" s="37"/>
      <c r="T2" s="37"/>
      <c r="U2" s="37"/>
      <c r="V2" s="37"/>
      <c r="W2" s="37"/>
      <c r="X2" s="18"/>
      <c r="Y2" s="18"/>
      <c r="Z2" s="18"/>
      <c r="AA2" s="18"/>
    </row>
    <row r="3" spans="1:27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K3" s="35" t="s">
        <v>82</v>
      </c>
      <c r="L3" s="35"/>
      <c r="M3" s="35" t="s">
        <v>85</v>
      </c>
      <c r="N3" s="35"/>
      <c r="Q3" s="8"/>
      <c r="R3" s="8"/>
      <c r="S3" s="17" t="s">
        <v>4</v>
      </c>
      <c r="T3" s="17" t="s">
        <v>5</v>
      </c>
      <c r="U3" s="17" t="s">
        <v>79</v>
      </c>
      <c r="V3" s="17" t="s">
        <v>84</v>
      </c>
      <c r="W3" s="17" t="s">
        <v>86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9"/>
      <c r="B4" s="39"/>
      <c r="C4" s="39"/>
      <c r="D4" s="39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K5" s="35" t="s">
        <v>14</v>
      </c>
      <c r="L5" s="35"/>
      <c r="M5" s="35" t="s">
        <v>14</v>
      </c>
      <c r="N5" s="35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23" priority="1" operator="containsText" text="02.">
      <formula>NOT(ISERROR(SEARCH("02.",E6)))</formula>
    </cfRule>
    <cfRule type="containsText" dxfId="22" priority="2" operator="containsText" text="01.">
      <formula>NOT(ISERROR(SEARCH("01.",E6)))</formula>
    </cfRule>
    <cfRule type="containsText" dxfId="21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Q7" sqref="Q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6" width="10.08984375" customWidth="1"/>
    <col min="17" max="18" width="3.453125" customWidth="1"/>
    <col min="19" max="19" width="14.36328125" customWidth="1"/>
    <col min="20" max="20" width="24" customWidth="1"/>
    <col min="21" max="21" width="9.54296875" bestFit="1" customWidth="1"/>
    <col min="22" max="27" width="10.6328125" bestFit="1" customWidth="1"/>
    <col min="30" max="30" width="11.54296875" customWidth="1"/>
  </cols>
  <sheetData>
    <row r="1" spans="1:30" ht="18.5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30" x14ac:dyDescent="0.35">
      <c r="S2" s="33" t="s">
        <v>1</v>
      </c>
      <c r="T2" s="37"/>
      <c r="U2" s="37"/>
      <c r="V2" s="37"/>
      <c r="W2" s="37"/>
      <c r="X2" s="37"/>
      <c r="Y2" s="37"/>
      <c r="Z2" s="37"/>
      <c r="AA2" s="2"/>
      <c r="AB2" s="2"/>
      <c r="AC2" s="2"/>
      <c r="AD2" s="18"/>
    </row>
    <row r="3" spans="1:30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K3" s="35" t="s">
        <v>82</v>
      </c>
      <c r="L3" s="35"/>
      <c r="M3" s="35" t="s">
        <v>85</v>
      </c>
      <c r="N3" s="35"/>
      <c r="O3" s="35" t="s">
        <v>87</v>
      </c>
      <c r="P3" s="35"/>
      <c r="S3" s="8"/>
      <c r="T3" s="8"/>
      <c r="U3" s="17" t="s">
        <v>4</v>
      </c>
      <c r="V3" s="17" t="s">
        <v>5</v>
      </c>
      <c r="W3" s="17" t="s">
        <v>79</v>
      </c>
      <c r="X3" s="17" t="s">
        <v>84</v>
      </c>
      <c r="Y3" s="17" t="s">
        <v>86</v>
      </c>
      <c r="Z3" s="21" t="s">
        <v>88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9"/>
      <c r="B4" s="39"/>
      <c r="C4" s="39"/>
      <c r="D4" s="39"/>
      <c r="E4" s="31" t="s">
        <v>9</v>
      </c>
      <c r="F4" s="32"/>
      <c r="G4" s="31" t="s">
        <v>9</v>
      </c>
      <c r="H4" s="32"/>
      <c r="I4" s="31" t="s">
        <v>9</v>
      </c>
      <c r="J4" s="32"/>
      <c r="K4" s="31" t="s">
        <v>9</v>
      </c>
      <c r="L4" s="32"/>
      <c r="M4" s="31" t="s">
        <v>9</v>
      </c>
      <c r="N4" s="32"/>
      <c r="O4" s="31" t="s">
        <v>9</v>
      </c>
      <c r="P4" s="32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K5" s="35" t="s">
        <v>14</v>
      </c>
      <c r="L5" s="35"/>
      <c r="M5" s="35" t="s">
        <v>14</v>
      </c>
      <c r="N5" s="35"/>
      <c r="O5" s="35" t="s">
        <v>14</v>
      </c>
      <c r="P5" s="35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Q7" s="27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Q9" s="27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  <c r="Q11" s="27" t="b">
        <v>0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  <c r="Q13" s="27" t="b">
        <v>0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  <c r="Q15" s="27" t="b">
        <v>0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7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  <c r="Q17" s="27" t="b">
        <v>0</v>
      </c>
    </row>
    <row r="18" spans="1:17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7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  <c r="Q19" s="27" t="b">
        <v>0</v>
      </c>
    </row>
    <row r="20" spans="1:17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7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  <c r="Q21" s="27" t="b">
        <v>0</v>
      </c>
    </row>
    <row r="22" spans="1:17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7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  <c r="Q23" s="27" t="b">
        <v>0</v>
      </c>
    </row>
    <row r="24" spans="1:17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7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  <c r="Q25" s="27" t="b">
        <v>0</v>
      </c>
    </row>
    <row r="26" spans="1:17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7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7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  <c r="Q28" s="27" t="b">
        <v>0</v>
      </c>
    </row>
    <row r="29" spans="1:17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7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  <c r="Q30" s="27" t="b">
        <v>0</v>
      </c>
    </row>
    <row r="31" spans="1:17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</row>
    <row r="32" spans="1:17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  <c r="Q32" s="27" t="b">
        <v>0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  <c r="Q34" s="27" t="b">
        <v>0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  <c r="Q36" s="27" t="b">
        <v>0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  <c r="Q38" s="27" t="b">
        <v>0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  <c r="Q40" s="27" t="b">
        <v>0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  <c r="Q42" s="27" t="b">
        <v>0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Q44" s="27" t="b">
        <v>0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Q46" s="27" t="b">
        <v>0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Q49" s="27" t="b">
        <v>0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Q51" s="27" t="b">
        <v>0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Q53" s="27" t="b">
        <v>0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Q55" s="27" t="b">
        <v>0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Q57" s="27" t="b">
        <v>0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Q59" s="27" t="b">
        <v>0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Q61" s="27" t="b">
        <v>0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Q63" s="27" t="b">
        <v>0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Q65" s="27" t="b">
        <v>0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Q67" s="27" t="b">
        <v>0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Q70" s="27" t="b">
        <v>0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Q72" s="27" t="b">
        <v>0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Q74" s="27" t="b">
        <v>0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  <c r="Q76" s="27" t="b">
        <v>0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  <c r="Q78" s="27" t="b">
        <v>0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  <c r="Q80" s="27" t="b">
        <v>0</v>
      </c>
    </row>
    <row r="81" spans="1:17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</row>
    <row r="82" spans="1:17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  <c r="Q82" s="27" t="b">
        <v>0</v>
      </c>
    </row>
    <row r="83" spans="1:17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</row>
    <row r="84" spans="1:17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  <c r="Q84" s="27" t="b">
        <v>0</v>
      </c>
    </row>
    <row r="85" spans="1:17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</row>
    <row r="86" spans="1:17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  <c r="Q86" s="27" t="b">
        <v>0</v>
      </c>
    </row>
    <row r="87" spans="1:17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</row>
    <row r="88" spans="1:17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  <c r="Q88" s="27" t="b">
        <v>0</v>
      </c>
    </row>
    <row r="89" spans="1:17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7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</row>
    <row r="91" spans="1:17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  <c r="Q91" s="27" t="b">
        <v>0</v>
      </c>
    </row>
    <row r="92" spans="1:17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</row>
    <row r="93" spans="1:17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  <c r="Q93" s="27" t="b">
        <v>0</v>
      </c>
    </row>
    <row r="94" spans="1:17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</row>
    <row r="95" spans="1:17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  <c r="Q95" s="27" t="b">
        <v>0</v>
      </c>
    </row>
    <row r="96" spans="1:17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</row>
    <row r="97" spans="1:17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  <c r="Q97" s="27" t="b">
        <v>0</v>
      </c>
    </row>
    <row r="98" spans="1:17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</row>
    <row r="99" spans="1:17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  <c r="Q99" s="27" t="b">
        <v>0</v>
      </c>
    </row>
    <row r="100" spans="1:17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</row>
    <row r="101" spans="1:17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  <c r="Q101" s="27" t="b">
        <v>0</v>
      </c>
    </row>
    <row r="102" spans="1:17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</row>
    <row r="103" spans="1:17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  <c r="Q103" s="27" t="b">
        <v>0</v>
      </c>
    </row>
    <row r="104" spans="1:17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</row>
    <row r="105" spans="1:17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  <c r="Q105" s="27" t="b">
        <v>0</v>
      </c>
    </row>
    <row r="106" spans="1:17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</row>
    <row r="107" spans="1:17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  <c r="Q107" s="27" t="b">
        <v>0</v>
      </c>
    </row>
    <row r="108" spans="1:17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</row>
    <row r="109" spans="1:17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  <c r="Q109" s="27" t="b">
        <v>0</v>
      </c>
    </row>
    <row r="110" spans="1:17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</row>
    <row r="111" spans="1:17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  <c r="Q111" s="27" t="b">
        <v>0</v>
      </c>
    </row>
    <row r="112" spans="1:17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</row>
    <row r="113" spans="1:17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  <c r="Q113" s="27" t="b">
        <v>0</v>
      </c>
    </row>
    <row r="114" spans="1:17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</row>
    <row r="115" spans="1:17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  <c r="Q115" s="27" t="b">
        <v>0</v>
      </c>
    </row>
    <row r="116" spans="1:17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8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Q1:Q1048576">
    <cfRule type="containsText" dxfId="13" priority="1" operator="containsText" text="TRUE">
      <formula>NOT(ISERROR(SEARCH("TRUE",Q1)))</formula>
    </cfRule>
    <cfRule type="containsText" dxfId="12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18" width="10.08984375" customWidth="1"/>
    <col min="19" max="20" width="3.453125" customWidth="1"/>
    <col min="21" max="21" width="14.36328125" customWidth="1"/>
    <col min="22" max="22" width="24" customWidth="1"/>
    <col min="23" max="23" width="9.54296875" bestFit="1" customWidth="1"/>
    <col min="24" max="24" width="10.453125" bestFit="1" customWidth="1"/>
    <col min="25" max="31" width="10.6328125" bestFit="1" customWidth="1"/>
    <col min="33" max="33" width="12.36328125" customWidth="1"/>
  </cols>
  <sheetData>
    <row r="1" spans="1:33" ht="18.5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33" x14ac:dyDescent="0.35">
      <c r="U2" s="35" t="s">
        <v>1</v>
      </c>
      <c r="V2" s="35"/>
      <c r="W2" s="35"/>
      <c r="X2" s="35"/>
      <c r="Y2" s="35"/>
      <c r="Z2" s="35"/>
      <c r="AA2" s="35"/>
      <c r="AB2" s="35"/>
      <c r="AC2" s="35"/>
      <c r="AD2" s="35"/>
      <c r="AE2" s="18"/>
      <c r="AF2" s="18"/>
      <c r="AG2" s="2"/>
    </row>
    <row r="3" spans="1:33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K3" s="35" t="s">
        <v>82</v>
      </c>
      <c r="L3" s="35"/>
      <c r="M3" s="35" t="s">
        <v>85</v>
      </c>
      <c r="N3" s="35"/>
      <c r="O3" s="35" t="s">
        <v>87</v>
      </c>
      <c r="P3" s="35"/>
      <c r="Q3" s="35" t="s">
        <v>89</v>
      </c>
      <c r="R3" s="35"/>
      <c r="U3" s="8"/>
      <c r="V3" s="8"/>
      <c r="W3" s="17" t="s">
        <v>4</v>
      </c>
      <c r="X3" s="17" t="s">
        <v>5</v>
      </c>
      <c r="Y3" s="17" t="s">
        <v>79</v>
      </c>
      <c r="Z3" s="17" t="s">
        <v>84</v>
      </c>
      <c r="AA3" s="17" t="s">
        <v>86</v>
      </c>
      <c r="AB3" s="17" t="s">
        <v>88</v>
      </c>
      <c r="AC3" s="17" t="s">
        <v>90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9"/>
      <c r="B4" s="39"/>
      <c r="C4" s="39"/>
      <c r="D4" s="39"/>
      <c r="E4" s="40" t="s">
        <v>9</v>
      </c>
      <c r="F4" s="41"/>
      <c r="G4" s="40" t="s">
        <v>9</v>
      </c>
      <c r="H4" s="41"/>
      <c r="I4" s="40" t="s">
        <v>9</v>
      </c>
      <c r="J4" s="41"/>
      <c r="K4" s="40" t="s">
        <v>9</v>
      </c>
      <c r="L4" s="41"/>
      <c r="M4" s="40" t="s">
        <v>9</v>
      </c>
      <c r="N4" s="41"/>
      <c r="O4" s="40" t="s">
        <v>9</v>
      </c>
      <c r="P4" s="41"/>
      <c r="Q4" s="40" t="s">
        <v>9</v>
      </c>
      <c r="R4" s="41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K5" s="35" t="s">
        <v>14</v>
      </c>
      <c r="L5" s="35"/>
      <c r="M5" s="35" t="s">
        <v>14</v>
      </c>
      <c r="N5" s="35"/>
      <c r="O5" s="35" t="s">
        <v>14</v>
      </c>
      <c r="P5" s="35"/>
      <c r="Q5" s="35" t="s">
        <v>14</v>
      </c>
      <c r="R5" s="35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30"/>
      <c r="F6" s="30"/>
      <c r="G6" s="30"/>
      <c r="H6" s="30"/>
      <c r="I6" s="30"/>
      <c r="J6" s="30"/>
      <c r="K6" s="28"/>
      <c r="L6" s="29"/>
      <c r="M6" s="28"/>
      <c r="N6" s="29"/>
      <c r="O6" s="28"/>
      <c r="P6" s="29"/>
      <c r="Q6" s="28"/>
      <c r="R6" s="29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8"/>
      <c r="F50" s="29"/>
      <c r="G50" s="28"/>
      <c r="H50" s="29"/>
      <c r="I50" s="28"/>
      <c r="J50" s="29"/>
      <c r="K50" s="28"/>
      <c r="L50" s="29"/>
      <c r="M50" s="28"/>
      <c r="N50" s="29"/>
      <c r="O50" s="28"/>
      <c r="P50" s="29"/>
      <c r="Q50" s="28"/>
      <c r="R50" s="29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8"/>
      <c r="F52" s="29"/>
      <c r="G52" s="28"/>
      <c r="H52" s="29"/>
      <c r="I52" s="28"/>
      <c r="J52" s="29"/>
      <c r="K52" s="28"/>
      <c r="L52" s="29"/>
      <c r="M52" s="28"/>
      <c r="N52" s="29"/>
      <c r="O52" s="28"/>
      <c r="P52" s="29"/>
      <c r="Q52" s="28"/>
      <c r="R52" s="29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8"/>
      <c r="F54" s="29"/>
      <c r="G54" s="28"/>
      <c r="H54" s="29"/>
      <c r="I54" s="28"/>
      <c r="J54" s="29"/>
      <c r="K54" s="28"/>
      <c r="L54" s="29"/>
      <c r="M54" s="28"/>
      <c r="N54" s="29"/>
      <c r="O54" s="28"/>
      <c r="P54" s="29"/>
      <c r="Q54" s="28"/>
      <c r="R54" s="29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8"/>
      <c r="F56" s="29"/>
      <c r="G56" s="28"/>
      <c r="H56" s="29"/>
      <c r="I56" s="28"/>
      <c r="J56" s="29"/>
      <c r="K56" s="28"/>
      <c r="L56" s="29"/>
      <c r="M56" s="28"/>
      <c r="N56" s="29"/>
      <c r="O56" s="28"/>
      <c r="P56" s="29"/>
      <c r="Q56" s="28"/>
      <c r="R56" s="29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8"/>
      <c r="F58" s="29"/>
      <c r="G58" s="28"/>
      <c r="H58" s="29"/>
      <c r="I58" s="28"/>
      <c r="J58" s="29"/>
      <c r="K58" s="28"/>
      <c r="L58" s="29"/>
      <c r="M58" s="28"/>
      <c r="N58" s="29"/>
      <c r="O58" s="28"/>
      <c r="P58" s="29"/>
      <c r="Q58" s="28"/>
      <c r="R58" s="29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8"/>
      <c r="F60" s="29"/>
      <c r="G60" s="28"/>
      <c r="H60" s="29"/>
      <c r="I60" s="28"/>
      <c r="J60" s="29"/>
      <c r="K60" s="28"/>
      <c r="L60" s="29"/>
      <c r="M60" s="28"/>
      <c r="N60" s="29"/>
      <c r="O60" s="28"/>
      <c r="P60" s="29"/>
      <c r="Q60" s="28"/>
      <c r="R60" s="29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8"/>
      <c r="F62" s="29"/>
      <c r="G62" s="28"/>
      <c r="H62" s="29"/>
      <c r="I62" s="28"/>
      <c r="J62" s="29"/>
      <c r="K62" s="28"/>
      <c r="L62" s="29"/>
      <c r="M62" s="28"/>
      <c r="N62" s="29"/>
      <c r="O62" s="28"/>
      <c r="P62" s="29"/>
      <c r="Q62" s="28"/>
      <c r="R62" s="29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8"/>
      <c r="F64" s="29"/>
      <c r="G64" s="28"/>
      <c r="H64" s="29"/>
      <c r="I64" s="28"/>
      <c r="J64" s="29"/>
      <c r="K64" s="28"/>
      <c r="L64" s="29"/>
      <c r="M64" s="28"/>
      <c r="N64" s="29"/>
      <c r="O64" s="28"/>
      <c r="P64" s="29"/>
      <c r="Q64" s="28"/>
      <c r="R64" s="29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8"/>
      <c r="F66" s="29"/>
      <c r="G66" s="28"/>
      <c r="H66" s="29"/>
      <c r="I66" s="28"/>
      <c r="J66" s="29"/>
      <c r="K66" s="28"/>
      <c r="L66" s="29"/>
      <c r="M66" s="28"/>
      <c r="N66" s="29"/>
      <c r="O66" s="28"/>
      <c r="P66" s="29"/>
      <c r="Q66" s="28"/>
      <c r="R66" s="29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11" priority="1" operator="containsText" text="02.">
      <formula>NOT(ISERROR(SEARCH("02.",E6)))</formula>
    </cfRule>
    <cfRule type="containsText" dxfId="10" priority="2" operator="containsText" text="01.">
      <formula>NOT(ISERROR(SEARCH("01.",E6)))</formula>
    </cfRule>
    <cfRule type="containsText" dxfId="9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topLeftCell="C1" zoomScale="61" workbookViewId="0">
      <selection activeCell="U7" sqref="U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.08984375" bestFit="1" customWidth="1"/>
    <col min="4" max="4" width="12.36328125" bestFit="1" customWidth="1"/>
    <col min="5" max="20" width="10.08984375" customWidth="1"/>
    <col min="21" max="22" width="3.453125" customWidth="1"/>
    <col min="23" max="23" width="14.36328125" customWidth="1"/>
    <col min="24" max="24" width="24" customWidth="1"/>
    <col min="25" max="25" width="9.54296875" bestFit="1" customWidth="1"/>
    <col min="26" max="26" width="10.453125" bestFit="1" customWidth="1"/>
    <col min="27" max="34" width="11.36328125" bestFit="1" customWidth="1"/>
    <col min="36" max="36" width="12" customWidth="1"/>
  </cols>
  <sheetData>
    <row r="1" spans="1:36" ht="18.5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36" x14ac:dyDescent="0.35">
      <c r="W2" s="33" t="s">
        <v>1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4"/>
      <c r="AI2" s="18"/>
      <c r="AJ2" s="18"/>
    </row>
    <row r="3" spans="1:36" x14ac:dyDescent="0.35">
      <c r="A3" s="38"/>
      <c r="B3" s="38"/>
      <c r="C3" s="38"/>
      <c r="D3" s="38"/>
      <c r="E3" s="33" t="s">
        <v>2</v>
      </c>
      <c r="F3" s="34"/>
      <c r="G3" s="33" t="s">
        <v>3</v>
      </c>
      <c r="H3" s="34"/>
      <c r="I3" s="33" t="s">
        <v>78</v>
      </c>
      <c r="J3" s="34"/>
      <c r="K3" s="35" t="s">
        <v>82</v>
      </c>
      <c r="L3" s="35"/>
      <c r="M3" s="35" t="s">
        <v>85</v>
      </c>
      <c r="N3" s="35"/>
      <c r="O3" s="35" t="s">
        <v>87</v>
      </c>
      <c r="P3" s="35"/>
      <c r="Q3" s="35" t="s">
        <v>89</v>
      </c>
      <c r="R3" s="35"/>
      <c r="S3" s="35" t="s">
        <v>91</v>
      </c>
      <c r="T3" s="35"/>
      <c r="W3" s="8"/>
      <c r="X3" s="8"/>
      <c r="Y3" s="17" t="s">
        <v>4</v>
      </c>
      <c r="Z3" s="17" t="s">
        <v>5</v>
      </c>
      <c r="AA3" s="17" t="s">
        <v>79</v>
      </c>
      <c r="AB3" s="17" t="s">
        <v>84</v>
      </c>
      <c r="AC3" s="17" t="s">
        <v>86</v>
      </c>
      <c r="AD3" s="17" t="s">
        <v>88</v>
      </c>
      <c r="AE3" s="17" t="s">
        <v>90</v>
      </c>
      <c r="AF3" s="17" t="s">
        <v>92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9"/>
      <c r="B4" s="39"/>
      <c r="C4" s="39"/>
      <c r="D4" s="39"/>
      <c r="E4" s="31" t="s">
        <v>9</v>
      </c>
      <c r="F4" s="32"/>
      <c r="G4" s="31" t="s">
        <v>9</v>
      </c>
      <c r="H4" s="32"/>
      <c r="I4" s="31" t="s">
        <v>9</v>
      </c>
      <c r="J4" s="32"/>
      <c r="K4" s="31" t="s">
        <v>9</v>
      </c>
      <c r="L4" s="32"/>
      <c r="M4" s="31" t="s">
        <v>9</v>
      </c>
      <c r="N4" s="32"/>
      <c r="O4" s="31" t="s">
        <v>9</v>
      </c>
      <c r="P4" s="32"/>
      <c r="Q4" s="31" t="s">
        <v>9</v>
      </c>
      <c r="R4" s="32"/>
      <c r="S4" s="31" t="s">
        <v>9</v>
      </c>
      <c r="T4" s="32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33" t="s">
        <v>14</v>
      </c>
      <c r="F5" s="34"/>
      <c r="G5" s="33" t="s">
        <v>14</v>
      </c>
      <c r="H5" s="34"/>
      <c r="I5" s="33" t="s">
        <v>14</v>
      </c>
      <c r="J5" s="34"/>
      <c r="K5" s="35" t="s">
        <v>14</v>
      </c>
      <c r="L5" s="35"/>
      <c r="M5" s="35" t="s">
        <v>14</v>
      </c>
      <c r="N5" s="35"/>
      <c r="O5" s="35" t="s">
        <v>14</v>
      </c>
      <c r="P5" s="35"/>
      <c r="Q5" s="35" t="s">
        <v>14</v>
      </c>
      <c r="R5" s="35"/>
      <c r="S5" s="35" t="s">
        <v>14</v>
      </c>
      <c r="T5" s="35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8"/>
      <c r="F6" s="29"/>
      <c r="G6" s="28"/>
      <c r="H6" s="29"/>
      <c r="I6" s="28"/>
      <c r="J6" s="29"/>
      <c r="K6" s="28"/>
      <c r="L6" s="29"/>
      <c r="M6" s="28"/>
      <c r="N6" s="29"/>
      <c r="O6" s="28"/>
      <c r="P6" s="29"/>
      <c r="Q6" s="28"/>
      <c r="R6" s="29"/>
      <c r="S6" s="28"/>
      <c r="T6" s="29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U7" s="27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8"/>
      <c r="F8" s="29"/>
      <c r="G8" s="28"/>
      <c r="H8" s="29"/>
      <c r="I8" s="28"/>
      <c r="J8" s="29"/>
      <c r="K8" s="28"/>
      <c r="L8" s="29"/>
      <c r="M8" s="28"/>
      <c r="N8" s="29"/>
      <c r="O8" s="28"/>
      <c r="P8" s="29"/>
      <c r="Q8" s="28"/>
      <c r="R8" s="29"/>
      <c r="S8" s="28"/>
      <c r="T8" s="29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U9" s="27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8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U11" s="27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  <c r="U13" s="27" t="b">
        <v>0</v>
      </c>
    </row>
    <row r="14" spans="1:36" x14ac:dyDescent="0.35">
      <c r="A14" s="5">
        <v>5</v>
      </c>
      <c r="B14" s="10" t="s">
        <v>93</v>
      </c>
      <c r="C14" s="2" t="s">
        <v>25</v>
      </c>
      <c r="D14" s="16">
        <v>1.7106481481481478E-4</v>
      </c>
      <c r="E14" s="28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  <c r="U15" s="27" t="b">
        <v>0</v>
      </c>
    </row>
    <row r="16" spans="1:36" x14ac:dyDescent="0.35">
      <c r="A16" s="5">
        <v>6</v>
      </c>
      <c r="B16" s="10" t="s">
        <v>94</v>
      </c>
      <c r="C16" s="2" t="s">
        <v>25</v>
      </c>
      <c r="D16" s="16">
        <v>1.7141203703703706E-4</v>
      </c>
      <c r="E16" s="28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1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  <c r="U17" s="27" t="b">
        <v>0</v>
      </c>
    </row>
    <row r="18" spans="1:21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1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  <c r="U19" s="27" t="b">
        <v>0</v>
      </c>
    </row>
    <row r="20" spans="1:21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8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1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  <c r="U21" s="27" t="b">
        <v>0</v>
      </c>
    </row>
    <row r="22" spans="1:21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8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1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  <c r="U23" s="27" t="b">
        <v>0</v>
      </c>
    </row>
    <row r="24" spans="1:21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1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  <c r="U25" s="27" t="b">
        <v>0</v>
      </c>
    </row>
    <row r="26" spans="1:21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1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1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  <c r="U28" s="27" t="b">
        <v>0</v>
      </c>
    </row>
    <row r="29" spans="1:21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30"/>
      <c r="F29" s="30"/>
      <c r="G29" s="28"/>
      <c r="H29" s="29"/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</row>
    <row r="30" spans="1:21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  <c r="U30" s="27" t="b">
        <v>0</v>
      </c>
    </row>
    <row r="31" spans="1:21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30"/>
      <c r="F31" s="30"/>
      <c r="G31" s="28"/>
      <c r="H31" s="29"/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</row>
    <row r="32" spans="1:21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  <c r="U32" s="27" t="b">
        <v>0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  <c r="U34" s="27" t="b">
        <v>0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  <c r="U36" s="27" t="b">
        <v>0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  <c r="U38" s="27" t="b">
        <v>0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  <c r="U40" s="27" t="b">
        <v>0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  <c r="U42" s="27" t="b">
        <v>0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  <c r="U44" s="27" t="b">
        <v>0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U46" s="27" t="b">
        <v>0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95</v>
      </c>
      <c r="C48" s="2" t="s">
        <v>25</v>
      </c>
      <c r="D48" s="16">
        <v>1.8703703703703702E-4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U49" s="27" t="b">
        <v>0</v>
      </c>
      <c r="Z49" s="24"/>
    </row>
    <row r="50" spans="1:26" x14ac:dyDescent="0.35">
      <c r="A50" s="5">
        <v>22</v>
      </c>
      <c r="B50" s="10" t="s">
        <v>96</v>
      </c>
      <c r="C50" s="2" t="s">
        <v>25</v>
      </c>
      <c r="D50" s="16">
        <v>1.8969907407407409E-4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U51" s="27" t="b">
        <v>0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U53" s="27" t="b">
        <v>0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U55" s="27" t="b">
        <v>0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U57" s="27" t="b">
        <v>0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U59" s="27" t="b">
        <v>0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U61" s="27" t="b">
        <v>0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U63" s="27" t="b">
        <v>0</v>
      </c>
      <c r="Z63" s="24"/>
    </row>
    <row r="64" spans="1:26" x14ac:dyDescent="0.35">
      <c r="A64" s="5">
        <v>29</v>
      </c>
      <c r="B64" s="10" t="s">
        <v>97</v>
      </c>
      <c r="C64" s="2" t="s">
        <v>25</v>
      </c>
      <c r="D64" s="16">
        <v>2.0972222222222223E-4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U65" s="27" t="b">
        <v>0</v>
      </c>
      <c r="Z65" s="24"/>
    </row>
    <row r="66" spans="1:26" x14ac:dyDescent="0.35">
      <c r="A66" s="5">
        <v>30</v>
      </c>
      <c r="B66" s="10" t="s">
        <v>98</v>
      </c>
      <c r="C66" s="2" t="s">
        <v>25</v>
      </c>
      <c r="D66" s="16">
        <v>2.1087962962962963E-4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U67" s="27" t="b">
        <v>0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8"/>
      <c r="F69" s="29"/>
      <c r="G69" s="28"/>
      <c r="H69" s="29"/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U70" s="27" t="b">
        <v>0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8"/>
      <c r="F71" s="29"/>
      <c r="G71" s="28"/>
      <c r="H71" s="29"/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U72" s="27" t="b">
        <v>0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8"/>
      <c r="F73" s="29"/>
      <c r="G73" s="28"/>
      <c r="H73" s="29"/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U74" s="27" t="b">
        <v>0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8"/>
      <c r="F75" s="29"/>
      <c r="G75" s="28"/>
      <c r="H75" s="29"/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U76" s="27" t="b">
        <v>0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8"/>
      <c r="F77" s="29"/>
      <c r="G77" s="28"/>
      <c r="H77" s="29"/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  <c r="U78" s="27" t="b">
        <v>0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8"/>
      <c r="F79" s="29"/>
      <c r="G79" s="28"/>
      <c r="H79" s="29"/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  <c r="U80" s="27" t="b">
        <v>0</v>
      </c>
    </row>
    <row r="81" spans="1:21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8"/>
      <c r="F81" s="29"/>
      <c r="G81" s="28"/>
      <c r="H81" s="29"/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</row>
    <row r="82" spans="1:21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  <c r="U82" s="27" t="b">
        <v>0</v>
      </c>
    </row>
    <row r="83" spans="1:21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8"/>
      <c r="F83" s="29"/>
      <c r="G83" s="28"/>
      <c r="H83" s="29"/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</row>
    <row r="84" spans="1:21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  <c r="U84" s="27" t="b">
        <v>0</v>
      </c>
    </row>
    <row r="85" spans="1:21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8"/>
      <c r="F85" s="29"/>
      <c r="G85" s="28"/>
      <c r="H85" s="29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</row>
    <row r="86" spans="1:21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  <c r="U86" s="27" t="b">
        <v>0</v>
      </c>
    </row>
    <row r="87" spans="1:21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8"/>
      <c r="F87" s="29"/>
      <c r="G87" s="28"/>
      <c r="H87" s="29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</row>
    <row r="88" spans="1:21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  <c r="U88" s="27" t="b">
        <v>0</v>
      </c>
    </row>
    <row r="89" spans="1:21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1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8"/>
      <c r="F90" s="29"/>
      <c r="G90" s="28"/>
      <c r="H90" s="29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</row>
    <row r="91" spans="1:21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  <c r="U91" s="27" t="b">
        <v>0</v>
      </c>
    </row>
    <row r="92" spans="1:21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8"/>
      <c r="F92" s="29"/>
      <c r="G92" s="28"/>
      <c r="H92" s="29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</row>
    <row r="93" spans="1:21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  <c r="U93" s="27" t="b">
        <v>0</v>
      </c>
    </row>
    <row r="94" spans="1:21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8"/>
      <c r="F94" s="29"/>
      <c r="G94" s="28"/>
      <c r="H94" s="29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</row>
    <row r="95" spans="1:21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  <c r="U95" s="27" t="b">
        <v>0</v>
      </c>
    </row>
    <row r="96" spans="1:21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8"/>
      <c r="F96" s="29"/>
      <c r="G96" s="28"/>
      <c r="H96" s="29"/>
      <c r="I96" s="28"/>
      <c r="J96" s="29"/>
      <c r="K96" s="28"/>
      <c r="L96" s="29"/>
      <c r="M96" s="28"/>
      <c r="N96" s="29"/>
      <c r="O96" s="28"/>
      <c r="P96" s="29"/>
      <c r="Q96" s="28"/>
      <c r="R96" s="29"/>
      <c r="S96" s="28"/>
      <c r="T96" s="29"/>
    </row>
    <row r="97" spans="1:21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  <c r="U97" s="27" t="b">
        <v>0</v>
      </c>
    </row>
    <row r="98" spans="1:21" x14ac:dyDescent="0.35">
      <c r="A98" s="5">
        <v>45</v>
      </c>
      <c r="B98" s="10" t="s">
        <v>99</v>
      </c>
      <c r="C98" s="2" t="s">
        <v>25</v>
      </c>
      <c r="D98" s="16">
        <v>2.3460648148148147E-4</v>
      </c>
      <c r="E98" s="28"/>
      <c r="F98" s="29"/>
      <c r="G98" s="28"/>
      <c r="H98" s="29"/>
      <c r="I98" s="28"/>
      <c r="J98" s="29"/>
      <c r="K98" s="28"/>
      <c r="L98" s="29"/>
      <c r="M98" s="28"/>
      <c r="N98" s="29"/>
      <c r="O98" s="28"/>
      <c r="P98" s="29"/>
      <c r="Q98" s="28"/>
      <c r="R98" s="29"/>
      <c r="S98" s="28"/>
      <c r="T98" s="29"/>
    </row>
    <row r="99" spans="1:21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  <c r="U99" s="27" t="b">
        <v>0</v>
      </c>
    </row>
    <row r="100" spans="1:21" x14ac:dyDescent="0.35">
      <c r="A100" s="5">
        <v>46</v>
      </c>
      <c r="B100" s="10" t="s">
        <v>100</v>
      </c>
      <c r="C100" s="2" t="s">
        <v>25</v>
      </c>
      <c r="D100" s="16">
        <v>2.2303240740740739E-4</v>
      </c>
      <c r="E100" s="28"/>
      <c r="F100" s="29"/>
      <c r="G100" s="28"/>
      <c r="H100" s="29"/>
      <c r="I100" s="28"/>
      <c r="J100" s="29"/>
      <c r="K100" s="28"/>
      <c r="L100" s="29"/>
      <c r="M100" s="28"/>
      <c r="N100" s="29"/>
      <c r="O100" s="28"/>
      <c r="P100" s="29"/>
      <c r="Q100" s="28"/>
      <c r="R100" s="29"/>
      <c r="S100" s="28"/>
      <c r="T100" s="29"/>
    </row>
    <row r="101" spans="1:21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  <c r="U101" s="27" t="b">
        <v>0</v>
      </c>
    </row>
    <row r="102" spans="1:21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8"/>
      <c r="F102" s="29"/>
      <c r="G102" s="28"/>
      <c r="H102" s="29"/>
      <c r="I102" s="28"/>
      <c r="J102" s="29"/>
      <c r="K102" s="28"/>
      <c r="L102" s="29"/>
      <c r="M102" s="28"/>
      <c r="N102" s="29"/>
      <c r="O102" s="28"/>
      <c r="P102" s="29"/>
      <c r="Q102" s="28"/>
      <c r="R102" s="29"/>
      <c r="S102" s="28"/>
      <c r="T102" s="29"/>
    </row>
    <row r="103" spans="1:21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  <c r="U103" s="27" t="b">
        <v>0</v>
      </c>
    </row>
    <row r="104" spans="1:21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8"/>
      <c r="F104" s="29"/>
      <c r="G104" s="28"/>
      <c r="H104" s="29"/>
      <c r="I104" s="28"/>
      <c r="J104" s="29"/>
      <c r="K104" s="28"/>
      <c r="L104" s="29"/>
      <c r="M104" s="28"/>
      <c r="N104" s="29"/>
      <c r="O104" s="28"/>
      <c r="P104" s="29"/>
      <c r="Q104" s="28"/>
      <c r="R104" s="29"/>
      <c r="S104" s="28"/>
      <c r="T104" s="29"/>
    </row>
    <row r="105" spans="1:21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  <c r="U105" s="27" t="b">
        <v>0</v>
      </c>
    </row>
    <row r="106" spans="1:21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8"/>
      <c r="F106" s="29"/>
      <c r="G106" s="28"/>
      <c r="H106" s="29"/>
      <c r="I106" s="28"/>
      <c r="J106" s="29"/>
      <c r="K106" s="28"/>
      <c r="L106" s="29"/>
      <c r="M106" s="28"/>
      <c r="N106" s="29"/>
      <c r="O106" s="28"/>
      <c r="P106" s="29"/>
      <c r="Q106" s="28"/>
      <c r="R106" s="29"/>
      <c r="S106" s="28"/>
      <c r="T106" s="29"/>
    </row>
    <row r="107" spans="1:21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  <c r="U107" s="27" t="b">
        <v>0</v>
      </c>
    </row>
    <row r="108" spans="1:21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8"/>
      <c r="F108" s="29"/>
      <c r="G108" s="28"/>
      <c r="H108" s="29"/>
      <c r="I108" s="28"/>
      <c r="J108" s="29"/>
      <c r="K108" s="28"/>
      <c r="L108" s="29"/>
      <c r="M108" s="28"/>
      <c r="N108" s="29"/>
      <c r="O108" s="28"/>
      <c r="P108" s="29"/>
      <c r="Q108" s="28"/>
      <c r="R108" s="29"/>
      <c r="S108" s="28"/>
      <c r="T108" s="29"/>
    </row>
    <row r="109" spans="1:21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  <c r="U109" s="27" t="b">
        <v>0</v>
      </c>
    </row>
    <row r="110" spans="1:21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8"/>
      <c r="F110" s="29"/>
      <c r="G110" s="28"/>
      <c r="H110" s="29"/>
      <c r="I110" s="28"/>
      <c r="J110" s="29"/>
      <c r="K110" s="28"/>
      <c r="L110" s="29"/>
      <c r="M110" s="28"/>
      <c r="N110" s="29"/>
      <c r="O110" s="28"/>
      <c r="P110" s="29"/>
      <c r="Q110" s="28"/>
      <c r="R110" s="29"/>
      <c r="S110" s="28"/>
      <c r="T110" s="29"/>
    </row>
    <row r="111" spans="1:21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  <c r="U111" s="27" t="b">
        <v>0</v>
      </c>
    </row>
    <row r="112" spans="1:21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8"/>
      <c r="F112" s="29"/>
      <c r="G112" s="28"/>
      <c r="H112" s="29"/>
      <c r="I112" s="28"/>
      <c r="J112" s="29"/>
      <c r="K112" s="28"/>
      <c r="L112" s="29"/>
      <c r="M112" s="28"/>
      <c r="N112" s="29"/>
      <c r="O112" s="28"/>
      <c r="P112" s="29"/>
      <c r="Q112" s="28"/>
      <c r="R112" s="29"/>
      <c r="S112" s="28"/>
      <c r="T112" s="29"/>
    </row>
    <row r="113" spans="1:21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  <c r="U113" s="27" t="b">
        <v>0</v>
      </c>
    </row>
    <row r="114" spans="1:21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  <c r="S114" s="28"/>
      <c r="T114" s="29"/>
    </row>
    <row r="115" spans="1:21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  <c r="U115" s="27" t="b">
        <v>0</v>
      </c>
    </row>
    <row r="116" spans="1:21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7" priority="4" operator="containsText" text="02;">
      <formula>NOT(ISERROR(SEARCH("02;",E6)))</formula>
    </cfRule>
    <cfRule type="containsText" dxfId="6" priority="5" operator="containsText" text="01;">
      <formula>NOT(ISERROR(SEARCH("01;",E6)))</formula>
    </cfRule>
    <cfRule type="containsText" dxfId="5" priority="6" operator="containsText" text="00;">
      <formula>NOT(ISERROR(SEARCH("00;",E6)))</formula>
    </cfRule>
    <cfRule type="containsText" dxfId="4" priority="7" operator="containsText" text="02.">
      <formula>NOT(ISERROR(SEARCH("02.",E6)))</formula>
    </cfRule>
    <cfRule type="containsText" dxfId="3" priority="9" operator="containsText" text="01.">
      <formula>NOT(ISERROR(SEARCH("01.",E6)))</formula>
    </cfRule>
    <cfRule type="containsText" dxfId="2" priority="10" operator="containsText" text="00.">
      <formula>NOT(ISERROR(SEARCH("00.",E6)))</formula>
    </cfRule>
  </conditionalFormatting>
  <conditionalFormatting sqref="U1:U1048576">
    <cfRule type="containsText" dxfId="1" priority="1" operator="containsText" text="FALSE">
      <formula>NOT(ISERROR(SEARCH("FALSE",U1)))</formula>
    </cfRule>
    <cfRule type="containsText" dxfId="0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  <vt:lpstr>'NO-TEAMS 04'!Print_Area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cp:lastPrinted>2026-03-07T22:56:08Z</cp:lastPrinted>
  <dcterms:created xsi:type="dcterms:W3CDTF">2019-11-07T20:01:16Z</dcterms:created>
  <dcterms:modified xsi:type="dcterms:W3CDTF">2026-03-08T08:22:25Z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