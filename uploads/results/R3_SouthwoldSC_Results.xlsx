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3\"/>
    </mc:Choice>
  </mc:AlternateContent>
  <xr:revisionPtr revIDLastSave="0" documentId="8_{B2638578-BAC0-429F-B6C4-958A71A53FFF}" xr6:coauthVersionLast="47" xr6:coauthVersionMax="47" xr10:uidLastSave="{00000000-0000-0000-0000-000000000000}"/>
  <bookViews>
    <workbookView xWindow="-110" yWindow="-110" windowWidth="22780" windowHeight="14540" tabRatio="749" firstSheet="1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 s="1"/>
  <c r="O40" i="1"/>
  <c r="P40" i="1" a="1"/>
  <c r="P40" i="1" s="1"/>
  <c r="M40" i="1"/>
  <c r="N40" i="1" a="1"/>
  <c r="N40" i="1" s="1"/>
  <c r="K40" i="1"/>
  <c r="L40" i="1" s="1" a="1"/>
  <c r="L40" i="1" s="1"/>
  <c r="I40" i="1"/>
  <c r="J40" i="1" s="1" a="1"/>
  <c r="J40" i="1" s="1"/>
  <c r="G40" i="1"/>
  <c r="H40" i="1" s="1" a="1"/>
  <c r="H40" i="1" s="1"/>
  <c r="E40" i="1"/>
  <c r="F40" i="1" s="1" a="1"/>
  <c r="F40" i="1" s="1"/>
  <c r="Q40" i="2"/>
  <c r="R40" i="2" s="1" a="1"/>
  <c r="R40" i="2"/>
  <c r="O40" i="2"/>
  <c r="P40" i="2" a="1"/>
  <c r="P40" i="2" s="1"/>
  <c r="M40" i="2"/>
  <c r="N40" i="2" a="1"/>
  <c r="N40" i="2" s="1"/>
  <c r="K40" i="2"/>
  <c r="L40" i="2" a="1"/>
  <c r="L40" i="2" s="1"/>
  <c r="I40" i="2"/>
  <c r="J40" i="2" s="1" a="1"/>
  <c r="J40" i="2" s="1"/>
  <c r="G40" i="2"/>
  <c r="H40" i="2" s="1" a="1"/>
  <c r="H40" i="2" s="1"/>
  <c r="E40" i="2"/>
  <c r="F40" i="2" s="1" a="1"/>
  <c r="F40" i="2" s="1"/>
  <c r="M40" i="5"/>
  <c r="N40" i="5" a="1"/>
  <c r="N40" i="5"/>
  <c r="K40" i="5"/>
  <c r="L40" i="5" a="1"/>
  <c r="L40" i="5"/>
  <c r="I40" i="5"/>
  <c r="J40" i="5" s="1" a="1"/>
  <c r="J40" i="5" s="1"/>
  <c r="G40" i="5"/>
  <c r="H40" i="5" a="1"/>
  <c r="H40" i="5" s="1"/>
  <c r="E40" i="5"/>
  <c r="F40" i="5" a="1"/>
  <c r="F40" i="5" s="1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 s="1"/>
  <c r="E40" i="6"/>
  <c r="F40" i="6" a="1"/>
  <c r="F40" i="6" s="1"/>
  <c r="G40" i="7"/>
  <c r="H40" i="7" a="1"/>
  <c r="H40" i="7"/>
  <c r="E40" i="7"/>
  <c r="F40" i="7" a="1"/>
  <c r="F40" i="7" s="1"/>
  <c r="K40" i="4"/>
  <c r="M40" i="4"/>
  <c r="O40" i="4"/>
  <c r="E40" i="4"/>
  <c r="G40" i="4"/>
  <c r="I40" i="4"/>
  <c r="G32" i="7"/>
  <c r="H32" i="7" s="1" a="1"/>
  <c r="H32" i="7" s="1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 s="1"/>
  <c r="I32" i="5"/>
  <c r="J32" i="5" a="1"/>
  <c r="J32" i="5" s="1"/>
  <c r="G32" i="5"/>
  <c r="H32" i="5" s="1" a="1"/>
  <c r="H32" i="5" s="1"/>
  <c r="E32" i="5"/>
  <c r="F32" i="5" a="1"/>
  <c r="F32" i="5" s="1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s="1" a="1"/>
  <c r="R32" i="2" s="1"/>
  <c r="O32" i="2"/>
  <c r="P32" i="2" a="1"/>
  <c r="P32" i="2" s="1"/>
  <c r="M32" i="2"/>
  <c r="N32" i="2" s="1" a="1"/>
  <c r="N32" i="2" s="1"/>
  <c r="K32" i="2"/>
  <c r="L32" i="2" s="1" a="1"/>
  <c r="L32" i="2" s="1"/>
  <c r="I32" i="2"/>
  <c r="J32" i="2" s="1" a="1"/>
  <c r="J32" i="2" s="1"/>
  <c r="G32" i="2"/>
  <c r="H32" i="2" s="1" a="1"/>
  <c r="H32" i="2" s="1"/>
  <c r="E32" i="2"/>
  <c r="F32" i="2" s="1" a="1"/>
  <c r="F32" i="2" s="1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 s="1"/>
  <c r="G30" i="1"/>
  <c r="I32" i="6"/>
  <c r="G32" i="6"/>
  <c r="E32" i="6"/>
  <c r="G30" i="6"/>
  <c r="E30" i="6"/>
  <c r="F30" i="6" a="1"/>
  <c r="F30" i="6" s="1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s="1" a="1"/>
  <c r="H25" i="7" s="1"/>
  <c r="G7" i="7"/>
  <c r="G9" i="7"/>
  <c r="H9" i="7" a="1"/>
  <c r="H9" i="7" s="1"/>
  <c r="G11" i="7"/>
  <c r="H11" i="7" a="1"/>
  <c r="H11" i="7" s="1"/>
  <c r="G13" i="7"/>
  <c r="H13" i="7" s="1" a="1"/>
  <c r="H13" i="7" s="1"/>
  <c r="G15" i="7"/>
  <c r="H15" i="7" a="1"/>
  <c r="H15" i="7" s="1"/>
  <c r="G17" i="7"/>
  <c r="H17" i="7" a="1"/>
  <c r="H17" i="7" s="1"/>
  <c r="G19" i="7"/>
  <c r="H19" i="7" a="1"/>
  <c r="H19" i="7" s="1"/>
  <c r="G21" i="7"/>
  <c r="H21" i="7" s="1" a="1"/>
  <c r="H21" i="7" s="1"/>
  <c r="G23" i="7"/>
  <c r="H23" i="7" s="1" a="1"/>
  <c r="H23" i="7" s="1"/>
  <c r="G28" i="7"/>
  <c r="H28" i="7" s="1" a="1"/>
  <c r="H28" i="7" s="1"/>
  <c r="G30" i="7"/>
  <c r="H30" i="7" s="1" a="1"/>
  <c r="H30" i="7" s="1"/>
  <c r="G34" i="7"/>
  <c r="H34" i="7" s="1" a="1"/>
  <c r="H34" i="7" s="1"/>
  <c r="G36" i="7"/>
  <c r="H36" i="7" s="1" a="1"/>
  <c r="H36" i="7" s="1"/>
  <c r="G38" i="7"/>
  <c r="H38" i="7" s="1" a="1"/>
  <c r="H38" i="7" s="1"/>
  <c r="G42" i="7"/>
  <c r="H42" i="7" a="1"/>
  <c r="H42" i="7"/>
  <c r="G44" i="7"/>
  <c r="H44" i="7" s="1" a="1"/>
  <c r="H44" i="7" s="1"/>
  <c r="G46" i="7"/>
  <c r="H46" i="7" s="1" a="1"/>
  <c r="H46" i="7" s="1"/>
  <c r="G49" i="7"/>
  <c r="H49" i="7" s="1" a="1"/>
  <c r="H49" i="7" s="1"/>
  <c r="G51" i="7"/>
  <c r="H51" i="7" s="1" a="1"/>
  <c r="H51" i="7" s="1"/>
  <c r="G53" i="7"/>
  <c r="H53" i="7" s="1" a="1"/>
  <c r="H53" i="7" s="1"/>
  <c r="G55" i="7"/>
  <c r="H55" i="7" s="1" a="1"/>
  <c r="H55" i="7" s="1"/>
  <c r="G57" i="7"/>
  <c r="H57" i="7" s="1" a="1"/>
  <c r="H57" i="7" s="1"/>
  <c r="G59" i="7"/>
  <c r="H59" i="7" a="1"/>
  <c r="H59" i="7"/>
  <c r="G61" i="7"/>
  <c r="H61" i="7" a="1"/>
  <c r="H61" i="7" s="1"/>
  <c r="G63" i="7"/>
  <c r="H63" i="7" a="1"/>
  <c r="H63" i="7" s="1"/>
  <c r="G65" i="7"/>
  <c r="H65" i="7" s="1" a="1"/>
  <c r="H65" i="7" s="1"/>
  <c r="G67" i="7"/>
  <c r="H67" i="7" a="1"/>
  <c r="H67" i="7" s="1"/>
  <c r="G70" i="7"/>
  <c r="H70" i="7" s="1" a="1"/>
  <c r="H70" i="7"/>
  <c r="G72" i="7"/>
  <c r="H72" i="7" s="1" a="1"/>
  <c r="H72" i="7" s="1"/>
  <c r="G74" i="7"/>
  <c r="H74" i="7" a="1"/>
  <c r="H74" i="7" s="1"/>
  <c r="G76" i="7"/>
  <c r="H76" i="7" a="1"/>
  <c r="H76" i="7" s="1"/>
  <c r="E76" i="7"/>
  <c r="F76" i="7" a="1"/>
  <c r="F76" i="7" s="1"/>
  <c r="G78" i="7"/>
  <c r="H78" i="7" s="1" a="1"/>
  <c r="H78" i="7" s="1"/>
  <c r="G80" i="7"/>
  <c r="H80" i="7" a="1"/>
  <c r="H80" i="7" s="1"/>
  <c r="G82" i="7"/>
  <c r="H82" i="7" a="1"/>
  <c r="H82" i="7" s="1"/>
  <c r="G84" i="7"/>
  <c r="H84" i="7" s="1" a="1"/>
  <c r="H84" i="7" s="1"/>
  <c r="G86" i="7"/>
  <c r="H86" i="7" a="1"/>
  <c r="H86" i="7" s="1"/>
  <c r="G88" i="7"/>
  <c r="H88" i="7" a="1"/>
  <c r="H88" i="7" s="1"/>
  <c r="G91" i="7"/>
  <c r="H91" i="7" a="1"/>
  <c r="H91" i="7" s="1"/>
  <c r="G93" i="7"/>
  <c r="H93" i="7" s="1" a="1"/>
  <c r="H93" i="7" s="1"/>
  <c r="G95" i="7"/>
  <c r="H95" i="7" s="1" a="1"/>
  <c r="H95" i="7" s="1"/>
  <c r="G97" i="7"/>
  <c r="H97" i="7" s="1" a="1"/>
  <c r="H97" i="7" s="1"/>
  <c r="G99" i="7"/>
  <c r="H99" i="7" s="1" a="1"/>
  <c r="H99" i="7" s="1"/>
  <c r="G101" i="7"/>
  <c r="H101" i="7" s="1" a="1"/>
  <c r="H101" i="7" s="1"/>
  <c r="G103" i="7"/>
  <c r="H103" i="7" s="1" a="1"/>
  <c r="H103" i="7" s="1"/>
  <c r="G105" i="7"/>
  <c r="H105" i="7" s="1" a="1"/>
  <c r="H105" i="7" s="1"/>
  <c r="G107" i="7"/>
  <c r="H107" i="7" a="1"/>
  <c r="H107" i="7"/>
  <c r="G109" i="7"/>
  <c r="H109" i="7" s="1" a="1"/>
  <c r="H109" i="7" s="1"/>
  <c r="G111" i="7"/>
  <c r="H111" i="7" s="1" a="1"/>
  <c r="H111" i="7" s="1"/>
  <c r="G113" i="7"/>
  <c r="H113" i="7" s="1" a="1"/>
  <c r="H113" i="7" s="1"/>
  <c r="G115" i="7"/>
  <c r="H115" i="7" s="1" a="1"/>
  <c r="H115" i="7" s="1"/>
  <c r="F109" i="7" a="1"/>
  <c r="F109" i="7" s="1"/>
  <c r="F93" i="7" a="1"/>
  <c r="F93" i="7" s="1"/>
  <c r="F84" i="7" a="1"/>
  <c r="F84" i="7" s="1"/>
  <c r="F82" i="7" a="1"/>
  <c r="F82" i="7" s="1"/>
  <c r="F65" i="7" a="1"/>
  <c r="F65" i="7" s="1"/>
  <c r="F49" i="7" a="1"/>
  <c r="F49" i="7" s="1"/>
  <c r="F15" i="7" a="1"/>
  <c r="F15" i="7" s="1"/>
  <c r="E115" i="7"/>
  <c r="F115" i="7" a="1"/>
  <c r="F115" i="7" s="1"/>
  <c r="E113" i="7"/>
  <c r="F113" i="7" a="1"/>
  <c r="F113" i="7" s="1"/>
  <c r="E111" i="7"/>
  <c r="F111" i="7" s="1" a="1"/>
  <c r="F111" i="7" s="1"/>
  <c r="E109" i="7"/>
  <c r="E107" i="7"/>
  <c r="F107" i="7" s="1" a="1"/>
  <c r="F107" i="7" s="1"/>
  <c r="E105" i="7"/>
  <c r="F105" i="7" s="1" a="1"/>
  <c r="F105" i="7" s="1"/>
  <c r="E103" i="7"/>
  <c r="F103" i="7" s="1" a="1"/>
  <c r="F103" i="7" s="1"/>
  <c r="E101" i="7"/>
  <c r="F101" i="7" s="1" a="1"/>
  <c r="F101" i="7" s="1"/>
  <c r="E99" i="7"/>
  <c r="F99" i="7" s="1" a="1"/>
  <c r="F99" i="7" s="1"/>
  <c r="E97" i="7"/>
  <c r="F97" i="7" a="1"/>
  <c r="F97" i="7" s="1"/>
  <c r="E95" i="7"/>
  <c r="F95" i="7" a="1"/>
  <c r="F95" i="7" s="1"/>
  <c r="E93" i="7"/>
  <c r="E91" i="7"/>
  <c r="F91" i="7" s="1" a="1"/>
  <c r="F91" i="7" s="1"/>
  <c r="E88" i="7"/>
  <c r="F88" i="7" a="1"/>
  <c r="F88" i="7"/>
  <c r="E86" i="7"/>
  <c r="F86" i="7" s="1" a="1"/>
  <c r="F86" i="7" s="1"/>
  <c r="E84" i="7"/>
  <c r="E82" i="7"/>
  <c r="E80" i="7"/>
  <c r="F80" i="7" a="1"/>
  <c r="F80" i="7"/>
  <c r="E78" i="7"/>
  <c r="F78" i="7" s="1" a="1"/>
  <c r="F78" i="7" s="1"/>
  <c r="E74" i="7"/>
  <c r="F74" i="7" s="1" a="1"/>
  <c r="F74" i="7" s="1"/>
  <c r="E72" i="7"/>
  <c r="F72" i="7" s="1" a="1"/>
  <c r="F72" i="7"/>
  <c r="E70" i="7"/>
  <c r="F70" i="7" a="1"/>
  <c r="F70" i="7" s="1"/>
  <c r="E67" i="7"/>
  <c r="F67" i="7" a="1"/>
  <c r="F67" i="7" s="1"/>
  <c r="E65" i="7"/>
  <c r="E63" i="7"/>
  <c r="F63" i="7" s="1" a="1"/>
  <c r="F63" i="7" s="1"/>
  <c r="E61" i="7"/>
  <c r="F61" i="7" s="1" a="1"/>
  <c r="F61" i="7" s="1"/>
  <c r="E59" i="7"/>
  <c r="F59" i="7" s="1" a="1"/>
  <c r="F59" i="7" s="1"/>
  <c r="E57" i="7"/>
  <c r="F57" i="7" s="1" a="1"/>
  <c r="F57" i="7" s="1"/>
  <c r="E55" i="7"/>
  <c r="F55" i="7" s="1" a="1"/>
  <c r="F55" i="7" s="1"/>
  <c r="E53" i="7"/>
  <c r="F53" i="7" a="1"/>
  <c r="F53" i="7"/>
  <c r="E51" i="7"/>
  <c r="F51" i="7" s="1" a="1"/>
  <c r="F51" i="7" s="1"/>
  <c r="E49" i="7"/>
  <c r="E46" i="7"/>
  <c r="F46" i="7" s="1" a="1"/>
  <c r="F46" i="7" s="1"/>
  <c r="E44" i="7"/>
  <c r="F44" i="7" a="1"/>
  <c r="F44" i="7"/>
  <c r="E42" i="7"/>
  <c r="F42" i="7" a="1"/>
  <c r="F42" i="7" s="1"/>
  <c r="E38" i="7"/>
  <c r="F38" i="7" a="1"/>
  <c r="F38" i="7" s="1"/>
  <c r="E36" i="7"/>
  <c r="F36" i="7" s="1" a="1"/>
  <c r="F36" i="7" s="1"/>
  <c r="E34" i="7"/>
  <c r="F34" i="7" s="1" a="1"/>
  <c r="F34" i="7" s="1"/>
  <c r="E30" i="7"/>
  <c r="F30" i="7" s="1" a="1"/>
  <c r="F30" i="7" s="1"/>
  <c r="E28" i="7"/>
  <c r="F28" i="7" a="1"/>
  <c r="F28" i="7" s="1"/>
  <c r="E25" i="7"/>
  <c r="F25" i="7" s="1" a="1"/>
  <c r="F25" i="7" s="1"/>
  <c r="E23" i="7"/>
  <c r="F23" i="7" s="1" a="1"/>
  <c r="F23" i="7" s="1"/>
  <c r="E21" i="7"/>
  <c r="F21" i="7" s="1" a="1"/>
  <c r="F21" i="7" s="1"/>
  <c r="E19" i="7"/>
  <c r="F19" i="7" s="1" a="1"/>
  <c r="F19" i="7" s="1"/>
  <c r="E17" i="7"/>
  <c r="F17" i="7" s="1" a="1"/>
  <c r="F17" i="7" s="1"/>
  <c r="E15" i="7"/>
  <c r="E13" i="7"/>
  <c r="F13" i="7" s="1" a="1"/>
  <c r="F13" i="7" s="1"/>
  <c r="E11" i="7"/>
  <c r="F11" i="7" s="1" a="1"/>
  <c r="F11" i="7" s="1"/>
  <c r="M4" i="7" s="1"/>
  <c r="E9" i="7"/>
  <c r="F9" i="7" s="1" a="1"/>
  <c r="F9" i="7" s="1"/>
  <c r="E7" i="7"/>
  <c r="L5" i="7"/>
  <c r="L4" i="7"/>
  <c r="G115" i="6"/>
  <c r="H115" i="6" s="1" a="1"/>
  <c r="H115" i="6" s="1"/>
  <c r="I115" i="6"/>
  <c r="J115" i="6" a="1"/>
  <c r="J115" i="6"/>
  <c r="G113" i="6"/>
  <c r="H113" i="6" s="1" a="1"/>
  <c r="H113" i="6" s="1"/>
  <c r="I113" i="6"/>
  <c r="J113" i="6" a="1"/>
  <c r="J113" i="6" s="1"/>
  <c r="G111" i="6"/>
  <c r="H111" i="6" s="1" a="1"/>
  <c r="H111" i="6"/>
  <c r="I111" i="6"/>
  <c r="J111" i="6" s="1" a="1"/>
  <c r="J111" i="6" s="1"/>
  <c r="G109" i="6"/>
  <c r="H109" i="6" s="1" a="1"/>
  <c r="H109" i="6"/>
  <c r="I109" i="6"/>
  <c r="J109" i="6" s="1" a="1"/>
  <c r="J109" i="6"/>
  <c r="G107" i="6"/>
  <c r="H107" i="6" s="1" a="1"/>
  <c r="H107" i="6" s="1"/>
  <c r="I107" i="6"/>
  <c r="J107" i="6" a="1"/>
  <c r="J107" i="6" s="1"/>
  <c r="G105" i="6"/>
  <c r="H105" i="6" a="1"/>
  <c r="H105" i="6" s="1"/>
  <c r="I105" i="6"/>
  <c r="J105" i="6" a="1"/>
  <c r="J105" i="6" s="1"/>
  <c r="G103" i="6"/>
  <c r="H103" i="6" a="1"/>
  <c r="H103" i="6" s="1"/>
  <c r="I103" i="6"/>
  <c r="J103" i="6" a="1"/>
  <c r="J103" i="6" s="1"/>
  <c r="G101" i="6"/>
  <c r="H101" i="6" s="1" a="1"/>
  <c r="H101" i="6"/>
  <c r="I101" i="6"/>
  <c r="J101" i="6" a="1"/>
  <c r="J101" i="6" s="1"/>
  <c r="G99" i="6"/>
  <c r="H99" i="6" a="1"/>
  <c r="H99" i="6" s="1"/>
  <c r="I99" i="6"/>
  <c r="J99" i="6" a="1"/>
  <c r="J99" i="6" s="1"/>
  <c r="G97" i="6"/>
  <c r="H97" i="6" s="1" a="1"/>
  <c r="H97" i="6" s="1"/>
  <c r="I97" i="6"/>
  <c r="J97" i="6" s="1" a="1"/>
  <c r="J97" i="6" s="1"/>
  <c r="G95" i="6"/>
  <c r="H95" i="6" a="1"/>
  <c r="H95" i="6" s="1"/>
  <c r="I95" i="6"/>
  <c r="J95" i="6" s="1" a="1"/>
  <c r="J95" i="6" s="1"/>
  <c r="G93" i="6"/>
  <c r="H93" i="6" s="1" a="1"/>
  <c r="H93" i="6" s="1"/>
  <c r="I93" i="6"/>
  <c r="J93" i="6" a="1"/>
  <c r="J93" i="6" s="1"/>
  <c r="G91" i="6"/>
  <c r="H91" i="6" s="1" a="1"/>
  <c r="H91" i="6" s="1"/>
  <c r="I91" i="6"/>
  <c r="J91" i="6" a="1"/>
  <c r="J91" i="6" s="1"/>
  <c r="G88" i="6"/>
  <c r="H88" i="6" s="1" a="1"/>
  <c r="H88" i="6" s="1"/>
  <c r="I88" i="6"/>
  <c r="J88" i="6" s="1" a="1"/>
  <c r="J88" i="6" s="1"/>
  <c r="G86" i="6"/>
  <c r="H86" i="6" s="1" a="1"/>
  <c r="H86" i="6" s="1"/>
  <c r="I86" i="6"/>
  <c r="J86" i="6" s="1" a="1"/>
  <c r="J86" i="6" s="1"/>
  <c r="G84" i="6"/>
  <c r="H84" i="6" s="1" a="1"/>
  <c r="H84" i="6" s="1"/>
  <c r="I84" i="6"/>
  <c r="J84" i="6" s="1" a="1"/>
  <c r="J84" i="6" s="1"/>
  <c r="G82" i="6"/>
  <c r="H82" i="6" s="1" a="1"/>
  <c r="H82" i="6" s="1"/>
  <c r="I82" i="6"/>
  <c r="J82" i="6" a="1"/>
  <c r="J82" i="6"/>
  <c r="G80" i="6"/>
  <c r="H80" i="6" s="1" a="1"/>
  <c r="H80" i="6" s="1"/>
  <c r="I80" i="6"/>
  <c r="J80" i="6" a="1"/>
  <c r="J80" i="6" s="1"/>
  <c r="G78" i="6"/>
  <c r="H78" i="6" s="1" a="1"/>
  <c r="H78" i="6"/>
  <c r="I78" i="6"/>
  <c r="J78" i="6" s="1" a="1"/>
  <c r="J78" i="6" s="1"/>
  <c r="G76" i="6"/>
  <c r="H76" i="6" s="1" a="1"/>
  <c r="H76" i="6"/>
  <c r="I76" i="6"/>
  <c r="J76" i="6" s="1" a="1"/>
  <c r="J76" i="6" s="1"/>
  <c r="G74" i="6"/>
  <c r="H74" i="6" s="1" a="1"/>
  <c r="H74" i="6" s="1"/>
  <c r="I74" i="6"/>
  <c r="J74" i="6" a="1"/>
  <c r="J74" i="6" s="1"/>
  <c r="G72" i="6"/>
  <c r="H72" i="6" a="1"/>
  <c r="H72" i="6" s="1"/>
  <c r="I72" i="6"/>
  <c r="J72" i="6" a="1"/>
  <c r="J72" i="6" s="1"/>
  <c r="G70" i="6"/>
  <c r="H70" i="6" a="1"/>
  <c r="H70" i="6" s="1"/>
  <c r="I70" i="6"/>
  <c r="J70" i="6" a="1"/>
  <c r="J70" i="6" s="1"/>
  <c r="G67" i="6"/>
  <c r="H67" i="6" s="1" a="1"/>
  <c r="H67" i="6"/>
  <c r="I67" i="6"/>
  <c r="J67" i="6" a="1"/>
  <c r="J67" i="6" s="1"/>
  <c r="G65" i="6"/>
  <c r="H65" i="6" a="1"/>
  <c r="H65" i="6" s="1"/>
  <c r="I65" i="6"/>
  <c r="J65" i="6" a="1"/>
  <c r="J65" i="6" s="1"/>
  <c r="G63" i="6"/>
  <c r="H63" i="6" s="1" a="1"/>
  <c r="H63" i="6" s="1"/>
  <c r="I63" i="6"/>
  <c r="J63" i="6" s="1" a="1"/>
  <c r="J63" i="6" s="1"/>
  <c r="G61" i="6"/>
  <c r="H61" i="6" a="1"/>
  <c r="H61" i="6" s="1"/>
  <c r="I61" i="6"/>
  <c r="J61" i="6" s="1" a="1"/>
  <c r="J61" i="6" s="1"/>
  <c r="G59" i="6"/>
  <c r="H59" i="6" s="1" a="1"/>
  <c r="H59" i="6" s="1"/>
  <c r="I59" i="6"/>
  <c r="J59" i="6" a="1"/>
  <c r="J59" i="6" s="1"/>
  <c r="G57" i="6"/>
  <c r="H57" i="6" s="1" a="1"/>
  <c r="H57" i="6" s="1"/>
  <c r="I57" i="6"/>
  <c r="J57" i="6" a="1"/>
  <c r="J57" i="6" s="1"/>
  <c r="G55" i="6"/>
  <c r="H55" i="6" s="1" a="1"/>
  <c r="H55" i="6" s="1"/>
  <c r="I55" i="6"/>
  <c r="J55" i="6" s="1" a="1"/>
  <c r="J55" i="6" s="1"/>
  <c r="G53" i="6"/>
  <c r="H53" i="6" s="1" a="1"/>
  <c r="H53" i="6" s="1"/>
  <c r="I53" i="6"/>
  <c r="J53" i="6" s="1" a="1"/>
  <c r="J53" i="6"/>
  <c r="G51" i="6"/>
  <c r="H51" i="6" s="1" a="1"/>
  <c r="H51" i="6" s="1"/>
  <c r="I51" i="6"/>
  <c r="J51" i="6" s="1" a="1"/>
  <c r="J51" i="6" s="1"/>
  <c r="G49" i="6"/>
  <c r="H49" i="6" s="1" a="1"/>
  <c r="H49" i="6" s="1"/>
  <c r="I49" i="6"/>
  <c r="J49" i="6" a="1"/>
  <c r="J49" i="6"/>
  <c r="G46" i="6"/>
  <c r="H46" i="6" s="1" a="1"/>
  <c r="H46" i="6" s="1"/>
  <c r="I46" i="6"/>
  <c r="J46" i="6" a="1"/>
  <c r="J46" i="6" s="1"/>
  <c r="G44" i="6"/>
  <c r="H44" i="6" s="1" a="1"/>
  <c r="H44" i="6"/>
  <c r="I44" i="6"/>
  <c r="J44" i="6" s="1" a="1"/>
  <c r="J44" i="6"/>
  <c r="G42" i="6"/>
  <c r="H42" i="6" s="1" a="1"/>
  <c r="H42" i="6"/>
  <c r="I42" i="6"/>
  <c r="J42" i="6" s="1" a="1"/>
  <c r="J42" i="6"/>
  <c r="G38" i="6"/>
  <c r="H38" i="6" s="1" a="1"/>
  <c r="H38" i="6"/>
  <c r="I38" i="6"/>
  <c r="J38" i="6" a="1"/>
  <c r="J38" i="6" s="1"/>
  <c r="G36" i="6"/>
  <c r="H36" i="6" a="1"/>
  <c r="H36" i="6"/>
  <c r="I36" i="6"/>
  <c r="J36" i="6" a="1"/>
  <c r="J36" i="6" s="1"/>
  <c r="G34" i="6"/>
  <c r="H34" i="6" a="1"/>
  <c r="H34" i="6" s="1"/>
  <c r="I34" i="6"/>
  <c r="J34" i="6" a="1"/>
  <c r="J34" i="6" s="1"/>
  <c r="H32" i="6" a="1"/>
  <c r="H32" i="6" s="1"/>
  <c r="J32" i="6" a="1"/>
  <c r="J32" i="6" s="1"/>
  <c r="H30" i="6" a="1"/>
  <c r="H30" i="6" s="1"/>
  <c r="J30" i="6" a="1"/>
  <c r="J30" i="6"/>
  <c r="G28" i="6"/>
  <c r="H28" i="6" s="1" a="1"/>
  <c r="H28" i="6" s="1"/>
  <c r="I28" i="6"/>
  <c r="J28" i="6" s="1" a="1"/>
  <c r="J28" i="6" s="1"/>
  <c r="G25" i="6"/>
  <c r="H25" i="6" s="1" a="1"/>
  <c r="H25" i="6"/>
  <c r="I25" i="6"/>
  <c r="J25" i="6" a="1"/>
  <c r="J25" i="6"/>
  <c r="G23" i="6"/>
  <c r="H23" i="6" a="1"/>
  <c r="H23" i="6" s="1"/>
  <c r="I23" i="6"/>
  <c r="J23" i="6" a="1"/>
  <c r="J23" i="6" s="1"/>
  <c r="G21" i="6"/>
  <c r="H21" i="6" s="1" a="1"/>
  <c r="H21" i="6" s="1"/>
  <c r="I21" i="6"/>
  <c r="J21" i="6" a="1"/>
  <c r="J21" i="6" s="1"/>
  <c r="G19" i="6"/>
  <c r="H19" i="6" s="1" a="1"/>
  <c r="H19" i="6"/>
  <c r="I19" i="6"/>
  <c r="J19" i="6" s="1" a="1"/>
  <c r="J19" i="6"/>
  <c r="G17" i="6"/>
  <c r="H17" i="6" a="1"/>
  <c r="H17" i="6" s="1"/>
  <c r="I17" i="6"/>
  <c r="J17" i="6" a="1"/>
  <c r="J17" i="6" s="1"/>
  <c r="G15" i="6"/>
  <c r="H15" i="6" a="1"/>
  <c r="H15" i="6" s="1"/>
  <c r="I15" i="6"/>
  <c r="J15" i="6" s="1" a="1"/>
  <c r="J15" i="6" s="1"/>
  <c r="G13" i="6"/>
  <c r="H13" i="6" a="1"/>
  <c r="H13" i="6"/>
  <c r="I13" i="6"/>
  <c r="J13" i="6" a="1"/>
  <c r="J13" i="6" s="1"/>
  <c r="G11" i="6"/>
  <c r="H11" i="6" s="1" a="1"/>
  <c r="H11" i="6" s="1"/>
  <c r="I11" i="6"/>
  <c r="J11" i="6" a="1"/>
  <c r="J11" i="6"/>
  <c r="G9" i="6"/>
  <c r="H9" i="6" a="1"/>
  <c r="H9" i="6" s="1"/>
  <c r="I9" i="6"/>
  <c r="J9" i="6" a="1"/>
  <c r="J9" i="6" s="1"/>
  <c r="G7" i="6"/>
  <c r="I7" i="6"/>
  <c r="J7" i="6" s="1" a="1"/>
  <c r="J7" i="6" s="1"/>
  <c r="E9" i="6"/>
  <c r="F9" i="6" s="1" a="1"/>
  <c r="F9" i="6"/>
  <c r="E115" i="6"/>
  <c r="F115" i="6" s="1" a="1"/>
  <c r="F115" i="6" s="1"/>
  <c r="E113" i="6"/>
  <c r="F113" i="6" s="1" a="1"/>
  <c r="F113" i="6"/>
  <c r="E111" i="6"/>
  <c r="F111" i="6" a="1"/>
  <c r="F111" i="6" s="1"/>
  <c r="E109" i="6"/>
  <c r="F109" i="6" a="1"/>
  <c r="F109" i="6"/>
  <c r="E107" i="6"/>
  <c r="F107" i="6" a="1"/>
  <c r="F107" i="6" s="1"/>
  <c r="E105" i="6"/>
  <c r="F105" i="6" a="1"/>
  <c r="F105" i="6" s="1"/>
  <c r="E103" i="6"/>
  <c r="F103" i="6" a="1"/>
  <c r="F103" i="6"/>
  <c r="E101" i="6"/>
  <c r="F101" i="6" s="1" a="1"/>
  <c r="F101" i="6"/>
  <c r="E99" i="6"/>
  <c r="F99" i="6" a="1"/>
  <c r="F99" i="6" s="1"/>
  <c r="E97" i="6"/>
  <c r="F97" i="6" a="1"/>
  <c r="F97" i="6" s="1"/>
  <c r="E95" i="6"/>
  <c r="F95" i="6" a="1"/>
  <c r="F95" i="6" s="1"/>
  <c r="E93" i="6"/>
  <c r="F93" i="6" s="1" a="1"/>
  <c r="F93" i="6" s="1"/>
  <c r="E91" i="6"/>
  <c r="F91" i="6" a="1"/>
  <c r="F91" i="6" s="1"/>
  <c r="E88" i="6"/>
  <c r="F88" i="6" a="1"/>
  <c r="F88" i="6" s="1"/>
  <c r="E86" i="6"/>
  <c r="F86" i="6" s="1" a="1"/>
  <c r="F86" i="6" s="1"/>
  <c r="E84" i="6"/>
  <c r="F84" i="6" s="1" a="1"/>
  <c r="F84" i="6"/>
  <c r="E82" i="6"/>
  <c r="F82" i="6" a="1"/>
  <c r="F82" i="6" s="1"/>
  <c r="E80" i="6"/>
  <c r="F80" i="6" s="1" a="1"/>
  <c r="F80" i="6" s="1"/>
  <c r="E78" i="6"/>
  <c r="F78" i="6" a="1"/>
  <c r="F78" i="6" s="1"/>
  <c r="E76" i="6"/>
  <c r="F76" i="6" s="1" a="1"/>
  <c r="F76" i="6" s="1"/>
  <c r="E74" i="6"/>
  <c r="F74" i="6" s="1" a="1"/>
  <c r="F74" i="6" s="1"/>
  <c r="E72" i="6"/>
  <c r="F72" i="6" a="1"/>
  <c r="F72" i="6" s="1"/>
  <c r="E70" i="6"/>
  <c r="F70" i="6" s="1" a="1"/>
  <c r="F70" i="6" s="1"/>
  <c r="E67" i="6"/>
  <c r="F67" i="6" s="1" a="1"/>
  <c r="F67" i="6" s="1"/>
  <c r="E65" i="6"/>
  <c r="F65" i="6" s="1" a="1"/>
  <c r="F65" i="6" s="1"/>
  <c r="E63" i="6"/>
  <c r="F63" i="6" s="1" a="1"/>
  <c r="F63" i="6" s="1"/>
  <c r="E61" i="6"/>
  <c r="F61" i="6" a="1"/>
  <c r="F61" i="6"/>
  <c r="E59" i="6"/>
  <c r="F59" i="6" s="1" a="1"/>
  <c r="F59" i="6" s="1"/>
  <c r="E57" i="6"/>
  <c r="F57" i="6" a="1"/>
  <c r="F57" i="6" s="1"/>
  <c r="E55" i="6"/>
  <c r="F55" i="6" s="1" a="1"/>
  <c r="F55" i="6"/>
  <c r="E53" i="6"/>
  <c r="F53" i="6" s="1" a="1"/>
  <c r="F53" i="6" s="1"/>
  <c r="E51" i="6"/>
  <c r="F51" i="6" s="1" a="1"/>
  <c r="F51" i="6"/>
  <c r="E49" i="6"/>
  <c r="F49" i="6" s="1" a="1"/>
  <c r="F49" i="6"/>
  <c r="E46" i="6"/>
  <c r="F46" i="6" s="1" a="1"/>
  <c r="F46" i="6"/>
  <c r="E44" i="6"/>
  <c r="F44" i="6" a="1"/>
  <c r="F44" i="6" s="1"/>
  <c r="E42" i="6"/>
  <c r="F42" i="6" a="1"/>
  <c r="F42" i="6" s="1"/>
  <c r="E38" i="6"/>
  <c r="F38" i="6" a="1"/>
  <c r="F38" i="6" s="1"/>
  <c r="E36" i="6"/>
  <c r="F36" i="6" a="1"/>
  <c r="F36" i="6" s="1"/>
  <c r="E34" i="6"/>
  <c r="F34" i="6" a="1"/>
  <c r="F34" i="6" s="1"/>
  <c r="F32" i="6" a="1"/>
  <c r="F32" i="6" s="1"/>
  <c r="E28" i="6"/>
  <c r="F28" i="6" s="1" a="1"/>
  <c r="F28" i="6" s="1"/>
  <c r="E25" i="6"/>
  <c r="F25" i="6" s="1" a="1"/>
  <c r="F25" i="6"/>
  <c r="E23" i="6"/>
  <c r="F23" i="6" s="1" a="1"/>
  <c r="F23" i="6" s="1"/>
  <c r="E21" i="6"/>
  <c r="F21" i="6" s="1" a="1"/>
  <c r="F21" i="6" s="1"/>
  <c r="E19" i="6"/>
  <c r="F19" i="6" s="1" a="1"/>
  <c r="F19" i="6"/>
  <c r="E17" i="6"/>
  <c r="F17" i="6" a="1"/>
  <c r="F17" i="6"/>
  <c r="E15" i="6"/>
  <c r="F15" i="6" a="1"/>
  <c r="F15" i="6" s="1"/>
  <c r="E13" i="6"/>
  <c r="F13" i="6" a="1"/>
  <c r="F13" i="6" s="1"/>
  <c r="E11" i="6"/>
  <c r="F11" i="6" s="1" a="1"/>
  <c r="F11" i="6" s="1"/>
  <c r="E7" i="6"/>
  <c r="F7" i="6" s="1" a="1"/>
  <c r="F7" i="6" s="1"/>
  <c r="N6" i="6"/>
  <c r="N5" i="6"/>
  <c r="N4" i="6"/>
  <c r="G91" i="5"/>
  <c r="H91" i="5" a="1"/>
  <c r="H91" i="5" s="1"/>
  <c r="I91" i="5"/>
  <c r="J91" i="5" s="1" a="1"/>
  <c r="J91" i="5" s="1"/>
  <c r="K91" i="5"/>
  <c r="L91" i="5" s="1" a="1"/>
  <c r="L91" i="5" s="1"/>
  <c r="M91" i="5"/>
  <c r="N91" i="5" s="1" a="1"/>
  <c r="N91" i="5" s="1"/>
  <c r="G93" i="5"/>
  <c r="H93" i="5" s="1" a="1"/>
  <c r="H93" i="5" s="1"/>
  <c r="I93" i="5"/>
  <c r="J93" i="5" s="1" a="1"/>
  <c r="J93" i="5" s="1"/>
  <c r="K93" i="5"/>
  <c r="L93" i="5" s="1" a="1"/>
  <c r="L93" i="5" s="1"/>
  <c r="M93" i="5"/>
  <c r="N93" i="5" s="1" a="1"/>
  <c r="N93" i="5"/>
  <c r="G95" i="5"/>
  <c r="H95" i="5" a="1"/>
  <c r="H95" i="5"/>
  <c r="I95" i="5"/>
  <c r="J95" i="5" s="1" a="1"/>
  <c r="J95" i="5"/>
  <c r="K95" i="5"/>
  <c r="L95" i="5" a="1"/>
  <c r="L95" i="5" s="1"/>
  <c r="M95" i="5"/>
  <c r="N95" i="5" s="1" a="1"/>
  <c r="N95" i="5" s="1"/>
  <c r="G97" i="5"/>
  <c r="H97" i="5" s="1" a="1"/>
  <c r="H97" i="5" s="1"/>
  <c r="I97" i="5"/>
  <c r="J97" i="5" s="1" a="1"/>
  <c r="J97" i="5"/>
  <c r="K97" i="5"/>
  <c r="L97" i="5" s="1" a="1"/>
  <c r="L97" i="5"/>
  <c r="M97" i="5"/>
  <c r="N97" i="5" s="1" a="1"/>
  <c r="N97" i="5" s="1"/>
  <c r="G99" i="5"/>
  <c r="H99" i="5" a="1"/>
  <c r="H99" i="5"/>
  <c r="I99" i="5"/>
  <c r="J99" i="5" a="1"/>
  <c r="J99" i="5"/>
  <c r="K99" i="5"/>
  <c r="L99" i="5" a="1"/>
  <c r="L99" i="5" s="1"/>
  <c r="M99" i="5"/>
  <c r="N99" i="5" a="1"/>
  <c r="N99" i="5"/>
  <c r="G101" i="5"/>
  <c r="H101" i="5" a="1"/>
  <c r="H101" i="5"/>
  <c r="I101" i="5"/>
  <c r="J101" i="5" s="1" a="1"/>
  <c r="J101" i="5"/>
  <c r="K101" i="5"/>
  <c r="L101" i="5" a="1"/>
  <c r="L101" i="5"/>
  <c r="M101" i="5"/>
  <c r="N101" i="5" a="1"/>
  <c r="N101" i="5"/>
  <c r="G103" i="5"/>
  <c r="H103" i="5" a="1"/>
  <c r="H103" i="5" s="1"/>
  <c r="I103" i="5"/>
  <c r="J103" i="5" s="1" a="1"/>
  <c r="J103" i="5" s="1"/>
  <c r="K103" i="5"/>
  <c r="L103" i="5" a="1"/>
  <c r="L103" i="5" s="1"/>
  <c r="M103" i="5"/>
  <c r="N103" i="5" a="1"/>
  <c r="N103" i="5" s="1"/>
  <c r="G105" i="5"/>
  <c r="H105" i="5" s="1" a="1"/>
  <c r="H105" i="5" s="1"/>
  <c r="I105" i="5"/>
  <c r="J105" i="5" s="1" a="1"/>
  <c r="J105" i="5" s="1"/>
  <c r="K105" i="5"/>
  <c r="L105" i="5" a="1"/>
  <c r="L105" i="5" s="1"/>
  <c r="M105" i="5"/>
  <c r="N105" i="5" a="1"/>
  <c r="N105" i="5" s="1"/>
  <c r="G107" i="5"/>
  <c r="H107" i="5" a="1"/>
  <c r="H107" i="5" s="1"/>
  <c r="I107" i="5"/>
  <c r="J107" i="5" s="1" a="1"/>
  <c r="J107" i="5" s="1"/>
  <c r="K107" i="5"/>
  <c r="L107" i="5" s="1" a="1"/>
  <c r="L107" i="5" s="1"/>
  <c r="M107" i="5"/>
  <c r="N107" i="5" s="1" a="1"/>
  <c r="N107" i="5" s="1"/>
  <c r="G109" i="5"/>
  <c r="H109" i="5" s="1" a="1"/>
  <c r="H109" i="5"/>
  <c r="I109" i="5"/>
  <c r="J109" i="5" s="1" a="1"/>
  <c r="J109" i="5" s="1"/>
  <c r="K109" i="5"/>
  <c r="L109" i="5" s="1" a="1"/>
  <c r="L109" i="5" s="1"/>
  <c r="M109" i="5"/>
  <c r="N109" i="5" s="1" a="1"/>
  <c r="N109" i="5"/>
  <c r="G111" i="5"/>
  <c r="H111" i="5" a="1"/>
  <c r="H111" i="5"/>
  <c r="I111" i="5"/>
  <c r="J111" i="5" s="1" a="1"/>
  <c r="J111" i="5"/>
  <c r="K111" i="5"/>
  <c r="L111" i="5" a="1"/>
  <c r="L111" i="5" s="1"/>
  <c r="M111" i="5"/>
  <c r="N111" i="5" s="1" a="1"/>
  <c r="N111" i="5" s="1"/>
  <c r="G113" i="5"/>
  <c r="H113" i="5" s="1" a="1"/>
  <c r="H113" i="5"/>
  <c r="I113" i="5"/>
  <c r="J113" i="5" s="1" a="1"/>
  <c r="J113" i="5"/>
  <c r="K113" i="5"/>
  <c r="L113" i="5" s="1" a="1"/>
  <c r="L113" i="5"/>
  <c r="M113" i="5"/>
  <c r="N113" i="5" s="1" a="1"/>
  <c r="N113" i="5" s="1"/>
  <c r="G115" i="5"/>
  <c r="H115" i="5" a="1"/>
  <c r="H115" i="5" s="1"/>
  <c r="I115" i="5"/>
  <c r="J115" i="5" a="1"/>
  <c r="J115" i="5"/>
  <c r="K115" i="5"/>
  <c r="L115" i="5" a="1"/>
  <c r="L115" i="5" s="1"/>
  <c r="M115" i="5"/>
  <c r="N115" i="5" a="1"/>
  <c r="N115" i="5" s="1"/>
  <c r="G88" i="5"/>
  <c r="H88" i="5" a="1"/>
  <c r="H88" i="5"/>
  <c r="I88" i="5"/>
  <c r="J88" i="5" s="1" a="1"/>
  <c r="J88" i="5"/>
  <c r="K88" i="5"/>
  <c r="L88" i="5" a="1"/>
  <c r="L88" i="5" s="1"/>
  <c r="M88" i="5"/>
  <c r="N88" i="5" a="1"/>
  <c r="N88" i="5"/>
  <c r="G86" i="5"/>
  <c r="H86" i="5" a="1"/>
  <c r="H86" i="5" s="1"/>
  <c r="I86" i="5"/>
  <c r="J86" i="5" a="1"/>
  <c r="J86" i="5" s="1"/>
  <c r="K86" i="5"/>
  <c r="L86" i="5" a="1"/>
  <c r="L86" i="5" s="1"/>
  <c r="M86" i="5"/>
  <c r="N86" i="5" a="1"/>
  <c r="N86" i="5" s="1"/>
  <c r="G84" i="5"/>
  <c r="H84" i="5" s="1" a="1"/>
  <c r="H84" i="5" s="1"/>
  <c r="I84" i="5"/>
  <c r="J84" i="5" s="1" a="1"/>
  <c r="J84" i="5"/>
  <c r="K84" i="5"/>
  <c r="L84" i="5" a="1"/>
  <c r="L84" i="5" s="1"/>
  <c r="M84" i="5"/>
  <c r="N84" i="5" a="1"/>
  <c r="N84" i="5" s="1"/>
  <c r="G82" i="5"/>
  <c r="H82" i="5" a="1"/>
  <c r="H82" i="5"/>
  <c r="I82" i="5"/>
  <c r="J82" i="5" s="1" a="1"/>
  <c r="J82" i="5" s="1"/>
  <c r="K82" i="5"/>
  <c r="L82" i="5" s="1" a="1"/>
  <c r="L82" i="5" s="1"/>
  <c r="M82" i="5"/>
  <c r="N82" i="5" a="1"/>
  <c r="N82" i="5"/>
  <c r="G80" i="5"/>
  <c r="H80" i="5" s="1" a="1"/>
  <c r="H80" i="5"/>
  <c r="I80" i="5"/>
  <c r="J80" i="5" s="1" a="1"/>
  <c r="J80" i="5" s="1"/>
  <c r="K80" i="5"/>
  <c r="L80" i="5" s="1" a="1"/>
  <c r="L80" i="5" s="1"/>
  <c r="M80" i="5"/>
  <c r="N80" i="5" a="1"/>
  <c r="N80" i="5"/>
  <c r="G78" i="5"/>
  <c r="H78" i="5" a="1"/>
  <c r="H78" i="5"/>
  <c r="I78" i="5"/>
  <c r="J78" i="5" a="1"/>
  <c r="J78" i="5" s="1"/>
  <c r="K78" i="5"/>
  <c r="L78" i="5" s="1" a="1"/>
  <c r="L78" i="5" s="1"/>
  <c r="M78" i="5"/>
  <c r="N78" i="5" a="1"/>
  <c r="N78" i="5" s="1"/>
  <c r="G76" i="5"/>
  <c r="H76" i="5" s="1" a="1"/>
  <c r="H76" i="5" s="1"/>
  <c r="I76" i="5"/>
  <c r="J76" i="5" s="1" a="1"/>
  <c r="J76" i="5"/>
  <c r="K76" i="5"/>
  <c r="L76" i="5" a="1"/>
  <c r="L76" i="5"/>
  <c r="M76" i="5"/>
  <c r="N76" i="5" a="1"/>
  <c r="N76" i="5" s="1"/>
  <c r="G74" i="5"/>
  <c r="H74" i="5" a="1"/>
  <c r="H74" i="5" s="1"/>
  <c r="I74" i="5"/>
  <c r="J74" i="5" a="1"/>
  <c r="J74" i="5" s="1"/>
  <c r="K74" i="5"/>
  <c r="L74" i="5" a="1"/>
  <c r="L74" i="5" s="1"/>
  <c r="M74" i="5"/>
  <c r="N74" i="5" a="1"/>
  <c r="N74" i="5"/>
  <c r="G72" i="5"/>
  <c r="H72" i="5" s="1" a="1"/>
  <c r="H72" i="5"/>
  <c r="I72" i="5"/>
  <c r="J72" i="5" s="1" a="1"/>
  <c r="J72" i="5" s="1"/>
  <c r="K72" i="5"/>
  <c r="L72" i="5" s="1" a="1"/>
  <c r="L72" i="5" s="1"/>
  <c r="M72" i="5"/>
  <c r="N72" i="5" a="1"/>
  <c r="N72" i="5" s="1"/>
  <c r="G70" i="5"/>
  <c r="H70" i="5" a="1"/>
  <c r="H70" i="5"/>
  <c r="I70" i="5"/>
  <c r="J70" i="5" a="1"/>
  <c r="J70" i="5"/>
  <c r="K70" i="5"/>
  <c r="L70" i="5" s="1" a="1"/>
  <c r="L70" i="5" s="1"/>
  <c r="M70" i="5"/>
  <c r="N70" i="5" s="1" a="1"/>
  <c r="N70" i="5" s="1"/>
  <c r="G67" i="5"/>
  <c r="H67" i="5" a="1"/>
  <c r="H67" i="5"/>
  <c r="I67" i="5"/>
  <c r="J67" i="5" s="1" a="1"/>
  <c r="J67" i="5" s="1"/>
  <c r="K67" i="5"/>
  <c r="L67" i="5" s="1" a="1"/>
  <c r="L67" i="5" s="1"/>
  <c r="M67" i="5"/>
  <c r="N67" i="5" a="1"/>
  <c r="N67" i="5"/>
  <c r="G65" i="5"/>
  <c r="H65" i="5" a="1"/>
  <c r="H65" i="5"/>
  <c r="I65" i="5"/>
  <c r="J65" i="5" a="1"/>
  <c r="J65" i="5" s="1"/>
  <c r="K65" i="5"/>
  <c r="L65" i="5" a="1"/>
  <c r="L65" i="5" s="1"/>
  <c r="M65" i="5"/>
  <c r="N65" i="5" s="1" a="1"/>
  <c r="N65" i="5"/>
  <c r="G63" i="5"/>
  <c r="H63" i="5" a="1"/>
  <c r="H63" i="5" s="1"/>
  <c r="I63" i="5"/>
  <c r="J63" i="5" s="1" a="1"/>
  <c r="J63" i="5"/>
  <c r="K63" i="5"/>
  <c r="L63" i="5" s="1" a="1"/>
  <c r="L63" i="5"/>
  <c r="M63" i="5"/>
  <c r="N63" i="5" a="1"/>
  <c r="N63" i="5" s="1"/>
  <c r="G61" i="5"/>
  <c r="H61" i="5" a="1"/>
  <c r="H61" i="5" s="1"/>
  <c r="I61" i="5"/>
  <c r="J61" i="5" a="1"/>
  <c r="J61" i="5" s="1"/>
  <c r="K61" i="5"/>
  <c r="L61" i="5" s="1" a="1"/>
  <c r="L61" i="5" s="1"/>
  <c r="M61" i="5"/>
  <c r="N61" i="5" a="1"/>
  <c r="N61" i="5" s="1"/>
  <c r="G59" i="5"/>
  <c r="H59" i="5" a="1"/>
  <c r="H59" i="5" s="1"/>
  <c r="I59" i="5"/>
  <c r="J59" i="5" s="1" a="1"/>
  <c r="J59" i="5" s="1"/>
  <c r="K59" i="5"/>
  <c r="L59" i="5" a="1"/>
  <c r="L59" i="5" s="1"/>
  <c r="M59" i="5"/>
  <c r="N59" i="5" a="1"/>
  <c r="N59" i="5" s="1"/>
  <c r="G57" i="5"/>
  <c r="H57" i="5" a="1"/>
  <c r="H57" i="5"/>
  <c r="I57" i="5"/>
  <c r="J57" i="5" s="1" a="1"/>
  <c r="J57" i="5" s="1"/>
  <c r="K57" i="5"/>
  <c r="L57" i="5" s="1" a="1"/>
  <c r="L57" i="5" s="1"/>
  <c r="M57" i="5"/>
  <c r="N57" i="5" s="1" a="1"/>
  <c r="N57" i="5" s="1"/>
  <c r="G55" i="5"/>
  <c r="H55" i="5" s="1" a="1"/>
  <c r="H55" i="5" s="1"/>
  <c r="I55" i="5"/>
  <c r="J55" i="5" s="1" a="1"/>
  <c r="J55" i="5" s="1"/>
  <c r="K55" i="5"/>
  <c r="L55" i="5" a="1"/>
  <c r="L55" i="5"/>
  <c r="M55" i="5"/>
  <c r="N55" i="5" s="1" a="1"/>
  <c r="N55" i="5"/>
  <c r="G53" i="5"/>
  <c r="H53" i="5" a="1"/>
  <c r="H53" i="5" s="1"/>
  <c r="I53" i="5"/>
  <c r="J53" i="5" a="1"/>
  <c r="J53" i="5" s="1"/>
  <c r="K53" i="5"/>
  <c r="L53" i="5" a="1"/>
  <c r="L53" i="5" s="1"/>
  <c r="M53" i="5"/>
  <c r="N53" i="5" s="1" a="1"/>
  <c r="N53" i="5" s="1"/>
  <c r="G51" i="5"/>
  <c r="H51" i="5" s="1" a="1"/>
  <c r="H51" i="5" s="1"/>
  <c r="I51" i="5"/>
  <c r="J51" i="5" s="1" a="1"/>
  <c r="J51" i="5" s="1"/>
  <c r="K51" i="5"/>
  <c r="L51" i="5" a="1"/>
  <c r="L51" i="5"/>
  <c r="M51" i="5"/>
  <c r="N51" i="5" s="1" a="1"/>
  <c r="N51" i="5" s="1"/>
  <c r="G49" i="5"/>
  <c r="H49" i="5" a="1"/>
  <c r="H49" i="5" s="1"/>
  <c r="I49" i="5"/>
  <c r="J49" i="5" a="1"/>
  <c r="J49" i="5" s="1"/>
  <c r="K49" i="5"/>
  <c r="L49" i="5" a="1"/>
  <c r="L49" i="5" s="1"/>
  <c r="M49" i="5"/>
  <c r="N49" i="5" s="1" a="1"/>
  <c r="N49" i="5" s="1"/>
  <c r="G28" i="5"/>
  <c r="H28" i="5" s="1" a="1"/>
  <c r="H28" i="5" s="1"/>
  <c r="I28" i="5"/>
  <c r="J28" i="5" s="1" a="1"/>
  <c r="J28" i="5" s="1"/>
  <c r="K28" i="5"/>
  <c r="L28" i="5" a="1"/>
  <c r="L28" i="5"/>
  <c r="M28" i="5"/>
  <c r="N28" i="5" s="1" a="1"/>
  <c r="N28" i="5" s="1"/>
  <c r="G30" i="5"/>
  <c r="H30" i="5" a="1"/>
  <c r="H30" i="5" s="1"/>
  <c r="I30" i="5"/>
  <c r="J30" i="5" a="1"/>
  <c r="J30" i="5" s="1"/>
  <c r="K30" i="5"/>
  <c r="L30" i="5" a="1"/>
  <c r="L30" i="5" s="1"/>
  <c r="M30" i="5"/>
  <c r="N30" i="5" s="1" a="1"/>
  <c r="N30" i="5" s="1"/>
  <c r="G34" i="5"/>
  <c r="H34" i="5" s="1" a="1"/>
  <c r="H34" i="5" s="1"/>
  <c r="I34" i="5"/>
  <c r="J34" i="5" s="1" a="1"/>
  <c r="J34" i="5" s="1"/>
  <c r="K34" i="5"/>
  <c r="L34" i="5" a="1"/>
  <c r="L34" i="5"/>
  <c r="M34" i="5"/>
  <c r="N34" i="5" s="1" a="1"/>
  <c r="N34" i="5" s="1"/>
  <c r="G36" i="5"/>
  <c r="H36" i="5" a="1"/>
  <c r="H36" i="5" s="1"/>
  <c r="I36" i="5"/>
  <c r="J36" i="5" a="1"/>
  <c r="J36" i="5" s="1"/>
  <c r="K36" i="5"/>
  <c r="L36" i="5" a="1"/>
  <c r="L36" i="5" s="1"/>
  <c r="M36" i="5"/>
  <c r="N36" i="5" s="1" a="1"/>
  <c r="N36" i="5" s="1"/>
  <c r="G38" i="5"/>
  <c r="H38" i="5" s="1" a="1"/>
  <c r="H38" i="5" s="1"/>
  <c r="I38" i="5"/>
  <c r="J38" i="5" s="1" a="1"/>
  <c r="J38" i="5" s="1"/>
  <c r="K38" i="5"/>
  <c r="L38" i="5" a="1"/>
  <c r="L38" i="5"/>
  <c r="M38" i="5"/>
  <c r="N38" i="5" s="1" a="1"/>
  <c r="N38" i="5"/>
  <c r="G42" i="5"/>
  <c r="H42" i="5" a="1"/>
  <c r="H42" i="5" s="1"/>
  <c r="I42" i="5"/>
  <c r="J42" i="5" a="1"/>
  <c r="J42" i="5" s="1"/>
  <c r="K42" i="5"/>
  <c r="L42" i="5" a="1"/>
  <c r="L42" i="5" s="1"/>
  <c r="M42" i="5"/>
  <c r="N42" i="5" s="1" a="1"/>
  <c r="N42" i="5" s="1"/>
  <c r="G44" i="5"/>
  <c r="H44" i="5" s="1" a="1"/>
  <c r="H44" i="5" s="1"/>
  <c r="I44" i="5"/>
  <c r="J44" i="5" s="1" a="1"/>
  <c r="J44" i="5" s="1"/>
  <c r="K44" i="5"/>
  <c r="L44" i="5" a="1"/>
  <c r="L44" i="5"/>
  <c r="M44" i="5"/>
  <c r="N44" i="5" s="1" a="1"/>
  <c r="N44" i="5" s="1"/>
  <c r="G46" i="5"/>
  <c r="H46" i="5" a="1"/>
  <c r="H46" i="5" s="1"/>
  <c r="I46" i="5"/>
  <c r="J46" i="5" a="1"/>
  <c r="J46" i="5" s="1"/>
  <c r="K46" i="5"/>
  <c r="L46" i="5" a="1"/>
  <c r="L46" i="5" s="1"/>
  <c r="M46" i="5"/>
  <c r="N46" i="5" s="1" a="1"/>
  <c r="N46" i="5" s="1"/>
  <c r="G9" i="5"/>
  <c r="H9" i="5" a="1"/>
  <c r="H9" i="5" s="1"/>
  <c r="I9" i="5"/>
  <c r="J9" i="5" a="1"/>
  <c r="J9" i="5" s="1"/>
  <c r="K9" i="5"/>
  <c r="L9" i="5" a="1"/>
  <c r="L9" i="5" s="1"/>
  <c r="M9" i="5"/>
  <c r="N9" i="5" s="1" a="1"/>
  <c r="N9" i="5" s="1"/>
  <c r="G11" i="5"/>
  <c r="H11" i="5" s="1" a="1"/>
  <c r="H11" i="5" s="1"/>
  <c r="I11" i="5"/>
  <c r="J11" i="5" s="1" a="1"/>
  <c r="J11" i="5" s="1"/>
  <c r="K11" i="5"/>
  <c r="L11" i="5" a="1"/>
  <c r="L11" i="5"/>
  <c r="M11" i="5"/>
  <c r="N11" i="5" a="1"/>
  <c r="N11" i="5"/>
  <c r="G13" i="5"/>
  <c r="H13" i="5" a="1"/>
  <c r="H13" i="5" s="1"/>
  <c r="I13" i="5"/>
  <c r="J13" i="5" a="1"/>
  <c r="J13" i="5" s="1"/>
  <c r="K13" i="5"/>
  <c r="L13" i="5" a="1"/>
  <c r="L13" i="5" s="1"/>
  <c r="M13" i="5"/>
  <c r="N13" i="5" s="1" a="1"/>
  <c r="N13" i="5" s="1"/>
  <c r="G15" i="5"/>
  <c r="H15" i="5" s="1" a="1"/>
  <c r="H15" i="5" s="1"/>
  <c r="I15" i="5"/>
  <c r="J15" i="5" s="1" a="1"/>
  <c r="J15" i="5" s="1"/>
  <c r="K15" i="5"/>
  <c r="L15" i="5" a="1"/>
  <c r="L15" i="5"/>
  <c r="M15" i="5"/>
  <c r="N15" i="5" a="1"/>
  <c r="N15" i="5"/>
  <c r="G17" i="5"/>
  <c r="H17" i="5" a="1"/>
  <c r="H17" i="5" s="1"/>
  <c r="I17" i="5"/>
  <c r="J17" i="5" a="1"/>
  <c r="J17" i="5" s="1"/>
  <c r="K17" i="5"/>
  <c r="L17" i="5" a="1"/>
  <c r="L17" i="5" s="1"/>
  <c r="M17" i="5"/>
  <c r="N17" i="5" s="1" a="1"/>
  <c r="N17" i="5" s="1"/>
  <c r="G19" i="5"/>
  <c r="H19" i="5" s="1" a="1"/>
  <c r="H19" i="5" s="1"/>
  <c r="I19" i="5"/>
  <c r="J19" i="5" s="1" a="1"/>
  <c r="J19" i="5" s="1"/>
  <c r="K19" i="5"/>
  <c r="L19" i="5" a="1"/>
  <c r="L19" i="5"/>
  <c r="M19" i="5"/>
  <c r="N19" i="5" a="1"/>
  <c r="N19" i="5"/>
  <c r="G21" i="5"/>
  <c r="H21" i="5" a="1"/>
  <c r="H21" i="5" s="1"/>
  <c r="I21" i="5"/>
  <c r="J21" i="5" a="1"/>
  <c r="J21" i="5" s="1"/>
  <c r="K21" i="5"/>
  <c r="L21" i="5" a="1"/>
  <c r="L21" i="5" s="1"/>
  <c r="M21" i="5"/>
  <c r="N21" i="5" s="1" a="1"/>
  <c r="N21" i="5" s="1"/>
  <c r="G23" i="5"/>
  <c r="H23" i="5" s="1" a="1"/>
  <c r="H23" i="5" s="1"/>
  <c r="I23" i="5"/>
  <c r="J23" i="5" s="1" a="1"/>
  <c r="J23" i="5" s="1"/>
  <c r="K23" i="5"/>
  <c r="L23" i="5" a="1"/>
  <c r="L23" i="5"/>
  <c r="M23" i="5"/>
  <c r="N23" i="5" a="1"/>
  <c r="N23" i="5"/>
  <c r="G25" i="5"/>
  <c r="H25" i="5" a="1"/>
  <c r="H25" i="5" s="1"/>
  <c r="I25" i="5"/>
  <c r="J25" i="5" a="1"/>
  <c r="J25" i="5" s="1"/>
  <c r="K25" i="5"/>
  <c r="L25" i="5" a="1"/>
  <c r="L25" i="5" s="1"/>
  <c r="M25" i="5"/>
  <c r="N25" i="5" s="1" a="1"/>
  <c r="N25" i="5" s="1"/>
  <c r="F13" i="5" a="1"/>
  <c r="F13" i="5" s="1"/>
  <c r="G7" i="5"/>
  <c r="H7" i="5" a="1"/>
  <c r="H7" i="5" s="1"/>
  <c r="I7" i="5"/>
  <c r="J7" i="5" s="1" a="1"/>
  <c r="J7" i="5" s="1"/>
  <c r="K7" i="5"/>
  <c r="L7" i="5" s="1" a="1"/>
  <c r="L7" i="5" s="1"/>
  <c r="M7" i="5"/>
  <c r="N7" i="5" s="1" a="1"/>
  <c r="N7" i="5"/>
  <c r="E115" i="5"/>
  <c r="F115" i="5" a="1"/>
  <c r="F115" i="5"/>
  <c r="E113" i="5"/>
  <c r="F113" i="5" a="1"/>
  <c r="F113" i="5"/>
  <c r="E111" i="5"/>
  <c r="F111" i="5" a="1"/>
  <c r="F111" i="5" s="1"/>
  <c r="E109" i="5"/>
  <c r="F109" i="5" a="1"/>
  <c r="F109" i="5" s="1"/>
  <c r="E107" i="5"/>
  <c r="F107" i="5" a="1"/>
  <c r="F107" i="5" s="1"/>
  <c r="E105" i="5"/>
  <c r="F105" i="5" s="1" a="1"/>
  <c r="F105" i="5" s="1"/>
  <c r="E103" i="5"/>
  <c r="F103" i="5" s="1" a="1"/>
  <c r="F103" i="5" s="1"/>
  <c r="E101" i="5"/>
  <c r="F101" i="5" s="1" a="1"/>
  <c r="F101" i="5" s="1"/>
  <c r="E99" i="5"/>
  <c r="F99" i="5" a="1"/>
  <c r="F99" i="5"/>
  <c r="E97" i="5"/>
  <c r="F97" i="5" a="1"/>
  <c r="F97" i="5"/>
  <c r="E95" i="5"/>
  <c r="F95" i="5" a="1"/>
  <c r="F95" i="5" s="1"/>
  <c r="E93" i="5"/>
  <c r="F93" i="5" s="1" a="1"/>
  <c r="F93" i="5" s="1"/>
  <c r="E91" i="5"/>
  <c r="F91" i="5" a="1"/>
  <c r="F91" i="5" s="1"/>
  <c r="E88" i="5"/>
  <c r="F88" i="5" s="1" a="1"/>
  <c r="F88" i="5"/>
  <c r="E86" i="5"/>
  <c r="F86" i="5" s="1" a="1"/>
  <c r="F86" i="5" s="1"/>
  <c r="E84" i="5"/>
  <c r="F84" i="5" s="1" a="1"/>
  <c r="F84" i="5"/>
  <c r="E82" i="5"/>
  <c r="F82" i="5" a="1"/>
  <c r="F82" i="5" s="1"/>
  <c r="E80" i="5"/>
  <c r="F80" i="5" a="1"/>
  <c r="F80" i="5"/>
  <c r="E78" i="5"/>
  <c r="F78" i="5" a="1"/>
  <c r="F78" i="5" s="1"/>
  <c r="E76" i="5"/>
  <c r="F76" i="5" a="1"/>
  <c r="F76" i="5" s="1"/>
  <c r="E74" i="5"/>
  <c r="F74" i="5" a="1"/>
  <c r="F74" i="5" s="1"/>
  <c r="E72" i="5"/>
  <c r="F72" i="5" s="1" a="1"/>
  <c r="F72" i="5"/>
  <c r="E70" i="5"/>
  <c r="F70" i="5" s="1" a="1"/>
  <c r="F70" i="5" s="1"/>
  <c r="E67" i="5"/>
  <c r="F67" i="5" s="1" a="1"/>
  <c r="F67" i="5" s="1"/>
  <c r="E65" i="5"/>
  <c r="F65" i="5" a="1"/>
  <c r="F65" i="5" s="1"/>
  <c r="E63" i="5"/>
  <c r="F63" i="5" a="1"/>
  <c r="F63" i="5"/>
  <c r="E61" i="5"/>
  <c r="F61" i="5" a="1"/>
  <c r="F61" i="5" s="1"/>
  <c r="E59" i="5"/>
  <c r="F59" i="5" s="1" a="1"/>
  <c r="F59" i="5" s="1"/>
  <c r="E57" i="5"/>
  <c r="F57" i="5" a="1"/>
  <c r="F57" i="5" s="1"/>
  <c r="E55" i="5"/>
  <c r="F55" i="5" s="1" a="1"/>
  <c r="F55" i="5" s="1"/>
  <c r="E53" i="5"/>
  <c r="F53" i="5" s="1" a="1"/>
  <c r="F53" i="5" s="1"/>
  <c r="E51" i="5"/>
  <c r="F51" i="5" s="1" a="1"/>
  <c r="F51" i="5"/>
  <c r="E49" i="5"/>
  <c r="F49" i="5" a="1"/>
  <c r="F49" i="5"/>
  <c r="E46" i="5"/>
  <c r="F46" i="5" a="1"/>
  <c r="F46" i="5"/>
  <c r="E44" i="5"/>
  <c r="F44" i="5" a="1"/>
  <c r="F44" i="5" s="1"/>
  <c r="E42" i="5"/>
  <c r="F42" i="5" s="1" a="1"/>
  <c r="F42" i="5" s="1"/>
  <c r="E38" i="5"/>
  <c r="F38" i="5" s="1" a="1"/>
  <c r="F38" i="5" s="1"/>
  <c r="E36" i="5"/>
  <c r="F36" i="5" s="1" a="1"/>
  <c r="F36" i="5"/>
  <c r="E34" i="5"/>
  <c r="F34" i="5" a="1"/>
  <c r="F34" i="5" s="1"/>
  <c r="E30" i="5"/>
  <c r="F30" i="5" a="1"/>
  <c r="F30" i="5"/>
  <c r="E28" i="5"/>
  <c r="F28" i="5" s="1" a="1"/>
  <c r="F28" i="5" s="1"/>
  <c r="E25" i="5"/>
  <c r="F25" i="5" s="1" a="1"/>
  <c r="F25" i="5" s="1"/>
  <c r="E23" i="5"/>
  <c r="F23" i="5" s="1" a="1"/>
  <c r="F23" i="5" s="1"/>
  <c r="E21" i="5"/>
  <c r="F21" i="5" s="1" a="1"/>
  <c r="F21" i="5"/>
  <c r="E19" i="5"/>
  <c r="F19" i="5" a="1"/>
  <c r="F19" i="5"/>
  <c r="E17" i="5"/>
  <c r="F17" i="5" a="1"/>
  <c r="F17" i="5"/>
  <c r="T4" i="5" s="1"/>
  <c r="E15" i="5"/>
  <c r="F15" i="5" a="1"/>
  <c r="F15" i="5" s="1"/>
  <c r="E13" i="5"/>
  <c r="E11" i="5"/>
  <c r="F11" i="5" s="1" a="1"/>
  <c r="F11" i="5" s="1"/>
  <c r="E9" i="5"/>
  <c r="F9" i="5" s="1" a="1"/>
  <c r="F9" i="5"/>
  <c r="E7" i="5"/>
  <c r="G91" i="4"/>
  <c r="H91" i="4" s="1" a="1"/>
  <c r="H91" i="4" s="1"/>
  <c r="I91" i="4"/>
  <c r="J91" i="4" a="1"/>
  <c r="J91" i="4" s="1"/>
  <c r="K91" i="4"/>
  <c r="L91" i="4" s="1" a="1"/>
  <c r="L91" i="4"/>
  <c r="M91" i="4"/>
  <c r="N91" i="4" s="1" a="1"/>
  <c r="N91" i="4" s="1"/>
  <c r="O91" i="4"/>
  <c r="P91" i="4" s="1" a="1"/>
  <c r="P91" i="4"/>
  <c r="G93" i="4"/>
  <c r="H93" i="4" a="1"/>
  <c r="H93" i="4" s="1"/>
  <c r="I93" i="4"/>
  <c r="J93" i="4" a="1"/>
  <c r="J93" i="4"/>
  <c r="K93" i="4"/>
  <c r="L93" i="4" a="1"/>
  <c r="L93" i="4" s="1"/>
  <c r="M93" i="4"/>
  <c r="N93" i="4" a="1"/>
  <c r="N93" i="4" s="1"/>
  <c r="O93" i="4"/>
  <c r="P93" i="4" a="1"/>
  <c r="P93" i="4" s="1"/>
  <c r="G95" i="4"/>
  <c r="H95" i="4" s="1" a="1"/>
  <c r="H95" i="4"/>
  <c r="I95" i="4"/>
  <c r="J95" i="4" s="1" a="1"/>
  <c r="J95" i="4"/>
  <c r="K95" i="4"/>
  <c r="L95" i="4" s="1" a="1"/>
  <c r="L95" i="4"/>
  <c r="M95" i="4"/>
  <c r="N95" i="4" a="1"/>
  <c r="N95" i="4" s="1"/>
  <c r="O95" i="4"/>
  <c r="P95" i="4" a="1"/>
  <c r="P95" i="4"/>
  <c r="G97" i="4"/>
  <c r="H97" i="4" a="1"/>
  <c r="H97" i="4" s="1"/>
  <c r="I97" i="4"/>
  <c r="J97" i="4" a="1"/>
  <c r="J97" i="4" s="1"/>
  <c r="K97" i="4"/>
  <c r="L97" i="4" a="1"/>
  <c r="L97" i="4" s="1"/>
  <c r="M97" i="4"/>
  <c r="N97" i="4" s="1" a="1"/>
  <c r="N97" i="4"/>
  <c r="O97" i="4"/>
  <c r="P97" i="4" s="1" a="1"/>
  <c r="P97" i="4"/>
  <c r="G99" i="4"/>
  <c r="H99" i="4" s="1" a="1"/>
  <c r="H99" i="4"/>
  <c r="I99" i="4"/>
  <c r="J99" i="4" a="1"/>
  <c r="J99" i="4" s="1"/>
  <c r="K99" i="4"/>
  <c r="L99" i="4" a="1"/>
  <c r="L99" i="4"/>
  <c r="M99" i="4"/>
  <c r="N99" i="4" a="1"/>
  <c r="N99" i="4" s="1"/>
  <c r="O99" i="4"/>
  <c r="P99" i="4" a="1"/>
  <c r="P99" i="4" s="1"/>
  <c r="G101" i="4"/>
  <c r="H101" i="4" a="1"/>
  <c r="H101" i="4" s="1"/>
  <c r="I101" i="4"/>
  <c r="J101" i="4" s="1" a="1"/>
  <c r="J101" i="4"/>
  <c r="K101" i="4"/>
  <c r="L101" i="4" s="1" a="1"/>
  <c r="L101" i="4"/>
  <c r="M101" i="4"/>
  <c r="N101" i="4" s="1" a="1"/>
  <c r="N101" i="4"/>
  <c r="O101" i="4"/>
  <c r="P101" i="4" a="1"/>
  <c r="P101" i="4" s="1"/>
  <c r="G103" i="4"/>
  <c r="H103" i="4" a="1"/>
  <c r="H103" i="4"/>
  <c r="I103" i="4"/>
  <c r="J103" i="4" a="1"/>
  <c r="J103" i="4" s="1"/>
  <c r="K103" i="4"/>
  <c r="L103" i="4" a="1"/>
  <c r="L103" i="4" s="1"/>
  <c r="M103" i="4"/>
  <c r="N103" i="4" a="1"/>
  <c r="N103" i="4" s="1"/>
  <c r="O103" i="4"/>
  <c r="P103" i="4" s="1" a="1"/>
  <c r="P103" i="4"/>
  <c r="G105" i="4"/>
  <c r="H105" i="4" s="1" a="1"/>
  <c r="H105" i="4"/>
  <c r="I105" i="4"/>
  <c r="J105" i="4" s="1" a="1"/>
  <c r="J105" i="4"/>
  <c r="K105" i="4"/>
  <c r="L105" i="4" a="1"/>
  <c r="L105" i="4" s="1"/>
  <c r="M105" i="4"/>
  <c r="N105" i="4" a="1"/>
  <c r="N105" i="4"/>
  <c r="O105" i="4"/>
  <c r="P105" i="4" a="1"/>
  <c r="P105" i="4" s="1"/>
  <c r="G107" i="4"/>
  <c r="H107" i="4" a="1"/>
  <c r="H107" i="4" s="1"/>
  <c r="I107" i="4"/>
  <c r="J107" i="4" a="1"/>
  <c r="J107" i="4" s="1"/>
  <c r="K107" i="4"/>
  <c r="L107" i="4" s="1" a="1"/>
  <c r="L107" i="4"/>
  <c r="M107" i="4"/>
  <c r="N107" i="4" s="1" a="1"/>
  <c r="N107" i="4"/>
  <c r="O107" i="4"/>
  <c r="P107" i="4" s="1" a="1"/>
  <c r="P107" i="4"/>
  <c r="G109" i="4"/>
  <c r="H109" i="4" a="1"/>
  <c r="H109" i="4"/>
  <c r="I109" i="4"/>
  <c r="J109" i="4" a="1"/>
  <c r="J109" i="4"/>
  <c r="K109" i="4"/>
  <c r="L109" i="4" a="1"/>
  <c r="L109" i="4" s="1"/>
  <c r="M109" i="4"/>
  <c r="N109" i="4" a="1"/>
  <c r="N109" i="4" s="1"/>
  <c r="O109" i="4"/>
  <c r="P109" i="4" a="1"/>
  <c r="P109" i="4" s="1"/>
  <c r="G111" i="4"/>
  <c r="H111" i="4" s="1" a="1"/>
  <c r="H111" i="4"/>
  <c r="I111" i="4"/>
  <c r="J111" i="4" s="1" a="1"/>
  <c r="J111" i="4"/>
  <c r="K111" i="4"/>
  <c r="L111" i="4" s="1" a="1"/>
  <c r="L111" i="4"/>
  <c r="M111" i="4"/>
  <c r="N111" i="4" a="1"/>
  <c r="N111" i="4" s="1"/>
  <c r="O111" i="4"/>
  <c r="P111" i="4" a="1"/>
  <c r="P111" i="4"/>
  <c r="G113" i="4"/>
  <c r="H113" i="4" a="1"/>
  <c r="H113" i="4" s="1"/>
  <c r="I113" i="4"/>
  <c r="J113" i="4" a="1"/>
  <c r="J113" i="4" s="1"/>
  <c r="K113" i="4"/>
  <c r="L113" i="4" a="1"/>
  <c r="L113" i="4" s="1"/>
  <c r="M113" i="4"/>
  <c r="N113" i="4" s="1" a="1"/>
  <c r="N113" i="4"/>
  <c r="O113" i="4"/>
  <c r="P113" i="4" s="1" a="1"/>
  <c r="P113" i="4"/>
  <c r="G115" i="4"/>
  <c r="H115" i="4" s="1" a="1"/>
  <c r="H115" i="4"/>
  <c r="I115" i="4"/>
  <c r="J115" i="4" a="1"/>
  <c r="J115" i="4" s="1"/>
  <c r="K115" i="4"/>
  <c r="L115" i="4" a="1"/>
  <c r="L115" i="4"/>
  <c r="M115" i="4"/>
  <c r="N115" i="4" a="1"/>
  <c r="N115" i="4" s="1"/>
  <c r="O115" i="4"/>
  <c r="P115" i="4" a="1"/>
  <c r="P115" i="4" s="1"/>
  <c r="G70" i="4"/>
  <c r="H70" i="4" a="1"/>
  <c r="H70" i="4" s="1"/>
  <c r="I70" i="4"/>
  <c r="J70" i="4" s="1" a="1"/>
  <c r="J70" i="4"/>
  <c r="K70" i="4"/>
  <c r="L70" i="4" s="1" a="1"/>
  <c r="L70" i="4"/>
  <c r="M70" i="4"/>
  <c r="N70" i="4" s="1" a="1"/>
  <c r="N70" i="4"/>
  <c r="O70" i="4"/>
  <c r="P70" i="4" a="1"/>
  <c r="P70" i="4" s="1"/>
  <c r="G72" i="4"/>
  <c r="H72" i="4" a="1"/>
  <c r="H72" i="4"/>
  <c r="I72" i="4"/>
  <c r="J72" i="4" a="1"/>
  <c r="J72" i="4" s="1"/>
  <c r="K72" i="4"/>
  <c r="L72" i="4" a="1"/>
  <c r="L72" i="4" s="1"/>
  <c r="M72" i="4"/>
  <c r="N72" i="4" a="1"/>
  <c r="N72" i="4" s="1"/>
  <c r="O72" i="4"/>
  <c r="P72" i="4" s="1" a="1"/>
  <c r="P72" i="4"/>
  <c r="G74" i="4"/>
  <c r="H74" i="4" s="1" a="1"/>
  <c r="H74" i="4"/>
  <c r="I74" i="4"/>
  <c r="J74" i="4" s="1" a="1"/>
  <c r="J74" i="4"/>
  <c r="K74" i="4"/>
  <c r="L74" i="4" a="1"/>
  <c r="L74" i="4"/>
  <c r="M74" i="4"/>
  <c r="N74" i="4" a="1"/>
  <c r="N74" i="4"/>
  <c r="O74" i="4"/>
  <c r="P74" i="4" a="1"/>
  <c r="P74" i="4" s="1"/>
  <c r="G76" i="4"/>
  <c r="H76" i="4" a="1"/>
  <c r="H76" i="4" s="1"/>
  <c r="I76" i="4"/>
  <c r="J76" i="4" a="1"/>
  <c r="J76" i="4" s="1"/>
  <c r="K76" i="4"/>
  <c r="L76" i="4" s="1" a="1"/>
  <c r="L76" i="4"/>
  <c r="M76" i="4"/>
  <c r="N76" i="4" s="1" a="1"/>
  <c r="N76" i="4"/>
  <c r="O76" i="4"/>
  <c r="P76" i="4" s="1" a="1"/>
  <c r="P76" i="4"/>
  <c r="G78" i="4"/>
  <c r="H78" i="4" a="1"/>
  <c r="H78" i="4" s="1"/>
  <c r="I78" i="4"/>
  <c r="J78" i="4" a="1"/>
  <c r="J78" i="4"/>
  <c r="K78" i="4"/>
  <c r="L78" i="4" a="1"/>
  <c r="L78" i="4" s="1"/>
  <c r="M78" i="4"/>
  <c r="N78" i="4" a="1"/>
  <c r="N78" i="4" s="1"/>
  <c r="O78" i="4"/>
  <c r="P78" i="4" a="1"/>
  <c r="P78" i="4" s="1"/>
  <c r="G80" i="4"/>
  <c r="H80" i="4" s="1" a="1"/>
  <c r="H80" i="4"/>
  <c r="I80" i="4"/>
  <c r="J80" i="4" s="1" a="1"/>
  <c r="J80" i="4"/>
  <c r="K80" i="4"/>
  <c r="L80" i="4" s="1" a="1"/>
  <c r="L80" i="4"/>
  <c r="M80" i="4"/>
  <c r="N80" i="4" a="1"/>
  <c r="N80" i="4" s="1"/>
  <c r="O80" i="4"/>
  <c r="P80" i="4" a="1"/>
  <c r="P80" i="4"/>
  <c r="G82" i="4"/>
  <c r="H82" i="4" a="1"/>
  <c r="H82" i="4" s="1"/>
  <c r="I82" i="4"/>
  <c r="J82" i="4" a="1"/>
  <c r="J82" i="4" s="1"/>
  <c r="K82" i="4"/>
  <c r="L82" i="4" a="1"/>
  <c r="L82" i="4" s="1"/>
  <c r="M82" i="4"/>
  <c r="N82" i="4" s="1" a="1"/>
  <c r="N82" i="4" s="1"/>
  <c r="O82" i="4"/>
  <c r="P82" i="4" s="1" a="1"/>
  <c r="P82" i="4"/>
  <c r="G84" i="4"/>
  <c r="H84" i="4" s="1" a="1"/>
  <c r="H84" i="4"/>
  <c r="I84" i="4"/>
  <c r="J84" i="4" a="1"/>
  <c r="J84" i="4"/>
  <c r="K84" i="4"/>
  <c r="L84" i="4" a="1"/>
  <c r="L84" i="4"/>
  <c r="M84" i="4"/>
  <c r="N84" i="4" a="1"/>
  <c r="N84" i="4" s="1"/>
  <c r="O84" i="4"/>
  <c r="P84" i="4" a="1"/>
  <c r="P84" i="4" s="1"/>
  <c r="G86" i="4"/>
  <c r="H86" i="4" s="1" a="1"/>
  <c r="H86" i="4" s="1"/>
  <c r="I86" i="4"/>
  <c r="J86" i="4" s="1" a="1"/>
  <c r="J86" i="4"/>
  <c r="K86" i="4"/>
  <c r="L86" i="4" s="1" a="1"/>
  <c r="L86" i="4"/>
  <c r="M86" i="4"/>
  <c r="N86" i="4" s="1" a="1"/>
  <c r="N86" i="4"/>
  <c r="O86" i="4"/>
  <c r="P86" i="4" a="1"/>
  <c r="P86" i="4"/>
  <c r="G88" i="4"/>
  <c r="H88" i="4" a="1"/>
  <c r="H88" i="4"/>
  <c r="I88" i="4"/>
  <c r="J88" i="4" a="1"/>
  <c r="J88" i="4" s="1"/>
  <c r="K88" i="4"/>
  <c r="L88" i="4" s="1" a="1"/>
  <c r="L88" i="4" s="1"/>
  <c r="M88" i="4"/>
  <c r="N88" i="4" a="1"/>
  <c r="N88" i="4" s="1"/>
  <c r="O88" i="4"/>
  <c r="P88" i="4" s="1" a="1"/>
  <c r="P88" i="4"/>
  <c r="G49" i="4"/>
  <c r="H49" i="4" s="1" a="1"/>
  <c r="H49" i="4"/>
  <c r="I49" i="4"/>
  <c r="J49" i="4" s="1" a="1"/>
  <c r="J49" i="4" s="1"/>
  <c r="K49" i="4"/>
  <c r="L49" i="4" a="1"/>
  <c r="L49" i="4" s="1"/>
  <c r="M49" i="4"/>
  <c r="N49" i="4" s="1" a="1"/>
  <c r="N49" i="4" s="1"/>
  <c r="O49" i="4"/>
  <c r="P49" i="4" a="1"/>
  <c r="P49" i="4" s="1"/>
  <c r="G51" i="4"/>
  <c r="H51" i="4" a="1"/>
  <c r="H51" i="4" s="1"/>
  <c r="I51" i="4"/>
  <c r="J51" i="4" s="1" a="1"/>
  <c r="J51" i="4" s="1"/>
  <c r="K51" i="4"/>
  <c r="L51" i="4" s="1" a="1"/>
  <c r="L51" i="4" s="1"/>
  <c r="M51" i="4"/>
  <c r="N51" i="4" a="1"/>
  <c r="N51" i="4"/>
  <c r="O51" i="4"/>
  <c r="P51" i="4" a="1"/>
  <c r="P51" i="4" s="1"/>
  <c r="G53" i="4"/>
  <c r="H53" i="4" s="1" a="1"/>
  <c r="H53" i="4" s="1"/>
  <c r="I53" i="4"/>
  <c r="J53" i="4" a="1"/>
  <c r="J53" i="4" s="1"/>
  <c r="K53" i="4"/>
  <c r="L53" i="4" s="1" a="1"/>
  <c r="L53" i="4" s="1"/>
  <c r="M53" i="4"/>
  <c r="N53" i="4" s="1" a="1"/>
  <c r="N53" i="4" s="1"/>
  <c r="O53" i="4"/>
  <c r="P53" i="4" s="1" a="1"/>
  <c r="P53" i="4"/>
  <c r="G55" i="4"/>
  <c r="H55" i="4" a="1"/>
  <c r="H55" i="4" s="1"/>
  <c r="I55" i="4"/>
  <c r="J55" i="4" a="1"/>
  <c r="J55" i="4"/>
  <c r="K55" i="4"/>
  <c r="L55" i="4" a="1"/>
  <c r="L55" i="4" s="1"/>
  <c r="M55" i="4"/>
  <c r="N55" i="4" s="1" a="1"/>
  <c r="N55" i="4" s="1"/>
  <c r="O55" i="4"/>
  <c r="P55" i="4" a="1"/>
  <c r="P55" i="4" s="1"/>
  <c r="G57" i="4"/>
  <c r="H57" i="4" s="1" a="1"/>
  <c r="H57" i="4" s="1"/>
  <c r="I57" i="4"/>
  <c r="J57" i="4" s="1" a="1"/>
  <c r="J57" i="4" s="1"/>
  <c r="K57" i="4"/>
  <c r="L57" i="4" s="1" a="1"/>
  <c r="L57" i="4"/>
  <c r="M57" i="4"/>
  <c r="N57" i="4" a="1"/>
  <c r="N57" i="4" s="1"/>
  <c r="O57" i="4"/>
  <c r="P57" i="4" a="1"/>
  <c r="P57" i="4"/>
  <c r="G59" i="4"/>
  <c r="H59" i="4" a="1"/>
  <c r="H59" i="4" s="1"/>
  <c r="I59" i="4"/>
  <c r="J59" i="4" s="1" a="1"/>
  <c r="J59" i="4" s="1"/>
  <c r="K59" i="4"/>
  <c r="L59" i="4" a="1"/>
  <c r="L59" i="4" s="1"/>
  <c r="M59" i="4"/>
  <c r="N59" i="4" s="1" a="1"/>
  <c r="N59" i="4" s="1"/>
  <c r="O59" i="4"/>
  <c r="P59" i="4" s="1" a="1"/>
  <c r="P59" i="4" s="1"/>
  <c r="G61" i="4"/>
  <c r="H61" i="4" s="1" a="1"/>
  <c r="H61" i="4"/>
  <c r="I61" i="4"/>
  <c r="J61" i="4" a="1"/>
  <c r="J61" i="4" s="1"/>
  <c r="K61" i="4"/>
  <c r="L61" i="4" a="1"/>
  <c r="L61" i="4"/>
  <c r="M61" i="4"/>
  <c r="N61" i="4" a="1"/>
  <c r="N61" i="4" s="1"/>
  <c r="O61" i="4"/>
  <c r="P61" i="4" s="1" a="1"/>
  <c r="P61" i="4" s="1"/>
  <c r="G63" i="4"/>
  <c r="H63" i="4" a="1"/>
  <c r="H63" i="4" s="1"/>
  <c r="I63" i="4"/>
  <c r="J63" i="4" s="1" a="1"/>
  <c r="J63" i="4" s="1"/>
  <c r="K63" i="4"/>
  <c r="L63" i="4" s="1" a="1"/>
  <c r="L63" i="4" s="1"/>
  <c r="M63" i="4"/>
  <c r="N63" i="4" s="1" a="1"/>
  <c r="N63" i="4" s="1"/>
  <c r="O63" i="4"/>
  <c r="P63" i="4" a="1"/>
  <c r="P63" i="4" s="1"/>
  <c r="G65" i="4"/>
  <c r="H65" i="4" a="1"/>
  <c r="H65" i="4"/>
  <c r="I65" i="4"/>
  <c r="J65" i="4" a="1"/>
  <c r="J65" i="4" s="1"/>
  <c r="K65" i="4"/>
  <c r="L65" i="4" s="1" a="1"/>
  <c r="L65" i="4" s="1"/>
  <c r="M65" i="4"/>
  <c r="N65" i="4" a="1"/>
  <c r="N65" i="4" s="1"/>
  <c r="O65" i="4"/>
  <c r="P65" i="4" s="1" a="1"/>
  <c r="P65" i="4" s="1"/>
  <c r="G67" i="4"/>
  <c r="H67" i="4" s="1" a="1"/>
  <c r="H67" i="4" s="1"/>
  <c r="I67" i="4"/>
  <c r="J67" i="4" s="1" a="1"/>
  <c r="J67" i="4"/>
  <c r="K67" i="4"/>
  <c r="L67" i="4" a="1"/>
  <c r="L67" i="4" s="1"/>
  <c r="M67" i="4"/>
  <c r="N67" i="4" a="1"/>
  <c r="N67" i="4"/>
  <c r="O67" i="4"/>
  <c r="P67" i="4" a="1"/>
  <c r="P67" i="4" s="1"/>
  <c r="G28" i="4"/>
  <c r="H28" i="4" s="1" a="1"/>
  <c r="H28" i="4" s="1"/>
  <c r="I28" i="4"/>
  <c r="J28" i="4" a="1"/>
  <c r="J28" i="4" s="1"/>
  <c r="K28" i="4"/>
  <c r="L28" i="4" s="1" a="1"/>
  <c r="L28" i="4" s="1"/>
  <c r="M28" i="4"/>
  <c r="N28" i="4" s="1" a="1"/>
  <c r="N28" i="4" s="1"/>
  <c r="O28" i="4"/>
  <c r="P28" i="4" s="1" a="1"/>
  <c r="P28" i="4"/>
  <c r="G30" i="4"/>
  <c r="H30" i="4" a="1"/>
  <c r="H30" i="4" s="1"/>
  <c r="I30" i="4"/>
  <c r="J30" i="4" a="1"/>
  <c r="J30" i="4"/>
  <c r="K30" i="4"/>
  <c r="L30" i="4" a="1"/>
  <c r="L30" i="4" s="1"/>
  <c r="M30" i="4"/>
  <c r="N30" i="4" s="1" a="1"/>
  <c r="N30" i="4" s="1"/>
  <c r="O30" i="4"/>
  <c r="P30" i="4" a="1"/>
  <c r="P30" i="4" s="1"/>
  <c r="G34" i="4"/>
  <c r="H34" i="4" s="1" a="1"/>
  <c r="H34" i="4" s="1"/>
  <c r="I34" i="4"/>
  <c r="J34" i="4" s="1" a="1"/>
  <c r="J34" i="4" s="1"/>
  <c r="K34" i="4"/>
  <c r="L34" i="4" s="1" a="1"/>
  <c r="L34" i="4"/>
  <c r="M34" i="4"/>
  <c r="N34" i="4" a="1"/>
  <c r="N34" i="4" s="1"/>
  <c r="O34" i="4"/>
  <c r="P34" i="4" a="1"/>
  <c r="P34" i="4"/>
  <c r="G36" i="4"/>
  <c r="H36" i="4" a="1"/>
  <c r="H36" i="4" s="1"/>
  <c r="I36" i="4"/>
  <c r="J36" i="4" s="1" a="1"/>
  <c r="J36" i="4" s="1"/>
  <c r="K36" i="4"/>
  <c r="L36" i="4" a="1"/>
  <c r="L36" i="4" s="1"/>
  <c r="M36" i="4"/>
  <c r="N36" i="4" s="1" a="1"/>
  <c r="N36" i="4" s="1"/>
  <c r="O36" i="4"/>
  <c r="P36" i="4" s="1" a="1"/>
  <c r="P36" i="4" s="1"/>
  <c r="G38" i="4"/>
  <c r="H38" i="4" s="1" a="1"/>
  <c r="H38" i="4" s="1"/>
  <c r="I38" i="4"/>
  <c r="J38" i="4" a="1"/>
  <c r="J38" i="4" s="1"/>
  <c r="K38" i="4"/>
  <c r="L38" i="4" a="1"/>
  <c r="L38" i="4"/>
  <c r="M38" i="4"/>
  <c r="N38" i="4" a="1"/>
  <c r="N38" i="4" s="1"/>
  <c r="O38" i="4"/>
  <c r="P38" i="4" s="1" a="1"/>
  <c r="P38" i="4" s="1"/>
  <c r="G42" i="4"/>
  <c r="H42" i="4" a="1"/>
  <c r="H42" i="4" s="1"/>
  <c r="I42" i="4"/>
  <c r="J42" i="4" s="1" a="1"/>
  <c r="J42" i="4" s="1"/>
  <c r="K42" i="4"/>
  <c r="L42" i="4" s="1" a="1"/>
  <c r="L42" i="4" s="1"/>
  <c r="M42" i="4"/>
  <c r="N42" i="4" s="1" a="1"/>
  <c r="N42" i="4"/>
  <c r="O42" i="4"/>
  <c r="P42" i="4" a="1"/>
  <c r="P42" i="4" s="1"/>
  <c r="G44" i="4"/>
  <c r="H44" i="4" a="1"/>
  <c r="H44" i="4"/>
  <c r="I44" i="4"/>
  <c r="J44" i="4" a="1"/>
  <c r="J44" i="4" s="1"/>
  <c r="K44" i="4"/>
  <c r="L44" i="4" s="1" a="1"/>
  <c r="L44" i="4" s="1"/>
  <c r="M44" i="4"/>
  <c r="N44" i="4" a="1"/>
  <c r="N44" i="4" s="1"/>
  <c r="O44" i="4"/>
  <c r="P44" i="4" s="1" a="1"/>
  <c r="P44" i="4" s="1"/>
  <c r="G46" i="4"/>
  <c r="H46" i="4" s="1" a="1"/>
  <c r="H46" i="4" s="1"/>
  <c r="I46" i="4"/>
  <c r="J46" i="4" s="1" a="1"/>
  <c r="J46" i="4"/>
  <c r="K46" i="4"/>
  <c r="L46" i="4" a="1"/>
  <c r="L46" i="4" s="1"/>
  <c r="M46" i="4"/>
  <c r="N46" i="4" a="1"/>
  <c r="N46" i="4"/>
  <c r="O46" i="4"/>
  <c r="P46" i="4" a="1"/>
  <c r="P46" i="4" s="1"/>
  <c r="G25" i="4"/>
  <c r="H25" i="4" s="1" a="1"/>
  <c r="H25" i="4" s="1"/>
  <c r="I25" i="4"/>
  <c r="J25" i="4" a="1"/>
  <c r="J25" i="4" s="1"/>
  <c r="K25" i="4"/>
  <c r="L25" i="4" s="1" a="1"/>
  <c r="L25" i="4" s="1"/>
  <c r="M25" i="4"/>
  <c r="N25" i="4" s="1" a="1"/>
  <c r="N25" i="4" s="1"/>
  <c r="O25" i="4"/>
  <c r="P25" i="4" s="1" a="1"/>
  <c r="P25" i="4" s="1"/>
  <c r="G23" i="4"/>
  <c r="H23" i="4" a="1"/>
  <c r="H23" i="4" s="1"/>
  <c r="I23" i="4"/>
  <c r="J23" i="4" a="1"/>
  <c r="J23" i="4"/>
  <c r="K23" i="4"/>
  <c r="L23" i="4" a="1"/>
  <c r="L23" i="4" s="1"/>
  <c r="M23" i="4"/>
  <c r="N23" i="4" s="1" a="1"/>
  <c r="N23" i="4" s="1"/>
  <c r="O23" i="4"/>
  <c r="P23" i="4" a="1"/>
  <c r="P23" i="4" s="1"/>
  <c r="G21" i="4"/>
  <c r="H21" i="4" s="1" a="1"/>
  <c r="H21" i="4" s="1"/>
  <c r="I21" i="4"/>
  <c r="J21" i="4" s="1" a="1"/>
  <c r="J21" i="4" s="1"/>
  <c r="K21" i="4"/>
  <c r="L21" i="4" s="1" a="1"/>
  <c r="L21" i="4" s="1"/>
  <c r="M21" i="4"/>
  <c r="N21" i="4" a="1"/>
  <c r="N21" i="4" s="1"/>
  <c r="O21" i="4"/>
  <c r="P21" i="4" a="1"/>
  <c r="P21" i="4"/>
  <c r="G19" i="4"/>
  <c r="H19" i="4" a="1"/>
  <c r="H19" i="4" s="1"/>
  <c r="I19" i="4"/>
  <c r="J19" i="4" s="1" a="1"/>
  <c r="J19" i="4" s="1"/>
  <c r="K19" i="4"/>
  <c r="L19" i="4" a="1"/>
  <c r="L19" i="4" s="1"/>
  <c r="M19" i="4"/>
  <c r="N19" i="4" s="1" a="1"/>
  <c r="N19" i="4" s="1"/>
  <c r="O19" i="4"/>
  <c r="P19" i="4" s="1" a="1"/>
  <c r="P19" i="4" s="1"/>
  <c r="G17" i="4"/>
  <c r="H17" i="4" s="1" a="1"/>
  <c r="H17" i="4"/>
  <c r="I17" i="4"/>
  <c r="J17" i="4" a="1"/>
  <c r="J17" i="4" s="1"/>
  <c r="K17" i="4"/>
  <c r="L17" i="4" a="1"/>
  <c r="L17" i="4"/>
  <c r="M17" i="4"/>
  <c r="N17" i="4" a="1"/>
  <c r="N17" i="4" s="1"/>
  <c r="O17" i="4"/>
  <c r="P17" i="4" s="1" a="1"/>
  <c r="P17" i="4" s="1"/>
  <c r="G15" i="4"/>
  <c r="H15" i="4" a="1"/>
  <c r="H15" i="4" s="1"/>
  <c r="I15" i="4"/>
  <c r="J15" i="4" s="1" a="1"/>
  <c r="J15" i="4" s="1"/>
  <c r="K15" i="4"/>
  <c r="L15" i="4" s="1" a="1"/>
  <c r="L15" i="4" s="1"/>
  <c r="M15" i="4"/>
  <c r="N15" i="4" s="1" a="1"/>
  <c r="N15" i="4"/>
  <c r="O15" i="4"/>
  <c r="P15" i="4" a="1"/>
  <c r="P15" i="4" s="1"/>
  <c r="G13" i="4"/>
  <c r="H13" i="4" a="1"/>
  <c r="H13" i="4"/>
  <c r="I13" i="4"/>
  <c r="J13" i="4" a="1"/>
  <c r="J13" i="4" s="1"/>
  <c r="K13" i="4"/>
  <c r="L13" i="4" s="1" a="1"/>
  <c r="L13" i="4" s="1"/>
  <c r="M13" i="4"/>
  <c r="N13" i="4" a="1"/>
  <c r="N13" i="4" s="1"/>
  <c r="O13" i="4"/>
  <c r="P13" i="4" s="1" a="1"/>
  <c r="P13" i="4" s="1"/>
  <c r="G11" i="4"/>
  <c r="H11" i="4" s="1" a="1"/>
  <c r="H11" i="4" s="1"/>
  <c r="I11" i="4"/>
  <c r="J11" i="4" s="1" a="1"/>
  <c r="J11" i="4" s="1"/>
  <c r="K11" i="4"/>
  <c r="L11" i="4" a="1"/>
  <c r="L11" i="4" s="1"/>
  <c r="M11" i="4"/>
  <c r="N11" i="4" a="1"/>
  <c r="N11" i="4"/>
  <c r="O11" i="4"/>
  <c r="P11" i="4" a="1"/>
  <c r="P11" i="4" s="1"/>
  <c r="G9" i="4"/>
  <c r="H9" i="4" s="1" a="1"/>
  <c r="H9" i="4" s="1"/>
  <c r="I9" i="4"/>
  <c r="J9" i="4" a="1"/>
  <c r="J9" i="4" s="1"/>
  <c r="K9" i="4"/>
  <c r="L9" i="4" s="1" a="1"/>
  <c r="L9" i="4"/>
  <c r="M9" i="4"/>
  <c r="N9" i="4" s="1" a="1"/>
  <c r="N9" i="4" s="1"/>
  <c r="O9" i="4"/>
  <c r="P9" i="4" s="1" a="1"/>
  <c r="P9" i="4" s="1"/>
  <c r="G7" i="4"/>
  <c r="H7" i="4" a="1"/>
  <c r="H7" i="4" s="1"/>
  <c r="I7" i="4"/>
  <c r="J7" i="4" s="1" a="1"/>
  <c r="J7" i="4" s="1"/>
  <c r="K7" i="4"/>
  <c r="L7" i="4" s="1" a="1"/>
  <c r="L7" i="4" s="1"/>
  <c r="M7" i="4"/>
  <c r="M26" i="4" s="1"/>
  <c r="M47" i="4" s="1"/>
  <c r="O7" i="4"/>
  <c r="E115" i="4"/>
  <c r="F115" i="4" s="1" a="1"/>
  <c r="F115" i="4" s="1"/>
  <c r="E113" i="4"/>
  <c r="F113" i="4" s="1" a="1"/>
  <c r="F113" i="4"/>
  <c r="E111" i="4"/>
  <c r="F111" i="4" s="1" a="1"/>
  <c r="F111" i="4"/>
  <c r="E109" i="4"/>
  <c r="F109" i="4" a="1"/>
  <c r="F109" i="4" s="1"/>
  <c r="E107" i="4"/>
  <c r="F107" i="4" a="1"/>
  <c r="F107" i="4" s="1"/>
  <c r="E105" i="4"/>
  <c r="F105" i="4" a="1"/>
  <c r="F105" i="4" s="1"/>
  <c r="E103" i="4"/>
  <c r="F103" i="4" s="1" a="1"/>
  <c r="F103" i="4" s="1"/>
  <c r="E101" i="4"/>
  <c r="F101" i="4" s="1" a="1"/>
  <c r="F101" i="4" s="1"/>
  <c r="E99" i="4"/>
  <c r="F99" i="4" s="1" a="1"/>
  <c r="F99" i="4" s="1"/>
  <c r="E97" i="4"/>
  <c r="F97" i="4" s="1" a="1"/>
  <c r="F97" i="4"/>
  <c r="E95" i="4"/>
  <c r="F95" i="4" s="1" a="1"/>
  <c r="F95" i="4"/>
  <c r="E93" i="4"/>
  <c r="F93" i="4" a="1"/>
  <c r="F93" i="4" s="1"/>
  <c r="E91" i="4"/>
  <c r="F91" i="4" a="1"/>
  <c r="F91" i="4" s="1"/>
  <c r="E88" i="4"/>
  <c r="F88" i="4" a="1"/>
  <c r="F88" i="4" s="1"/>
  <c r="E86" i="4"/>
  <c r="F86" i="4" s="1" a="1"/>
  <c r="F86" i="4" s="1"/>
  <c r="E84" i="4"/>
  <c r="F84" i="4" s="1" a="1"/>
  <c r="F84" i="4" s="1"/>
  <c r="E82" i="4"/>
  <c r="F82" i="4" s="1" a="1"/>
  <c r="F82" i="4" s="1"/>
  <c r="E80" i="4"/>
  <c r="F80" i="4" s="1" a="1"/>
  <c r="F80" i="4"/>
  <c r="E78" i="4"/>
  <c r="F78" i="4" s="1" a="1"/>
  <c r="F78" i="4"/>
  <c r="E76" i="4"/>
  <c r="F76" i="4" a="1"/>
  <c r="F76" i="4" s="1"/>
  <c r="E74" i="4"/>
  <c r="F74" i="4" a="1"/>
  <c r="F74" i="4" s="1"/>
  <c r="E72" i="4"/>
  <c r="F72" i="4" a="1"/>
  <c r="F72" i="4" s="1"/>
  <c r="E70" i="4"/>
  <c r="F70" i="4" s="1" a="1"/>
  <c r="F70" i="4" s="1"/>
  <c r="E67" i="4"/>
  <c r="F67" i="4" s="1" a="1"/>
  <c r="F67" i="4" s="1"/>
  <c r="E65" i="4"/>
  <c r="F65" i="4" s="1" a="1"/>
  <c r="F65" i="4" s="1"/>
  <c r="E63" i="4"/>
  <c r="F63" i="4" s="1" a="1"/>
  <c r="F63" i="4"/>
  <c r="E61" i="4"/>
  <c r="F61" i="4" s="1" a="1"/>
  <c r="F61" i="4"/>
  <c r="E59" i="4"/>
  <c r="F59" i="4" a="1"/>
  <c r="F59" i="4" s="1"/>
  <c r="E57" i="4"/>
  <c r="F57" i="4" a="1"/>
  <c r="F57" i="4" s="1"/>
  <c r="E55" i="4"/>
  <c r="F55" i="4" a="1"/>
  <c r="F55" i="4" s="1"/>
  <c r="E53" i="4"/>
  <c r="F53" i="4" s="1" a="1"/>
  <c r="F53" i="4" s="1"/>
  <c r="E51" i="4"/>
  <c r="F51" i="4" s="1" a="1"/>
  <c r="F51" i="4" s="1"/>
  <c r="E49" i="4"/>
  <c r="F49" i="4" s="1" a="1"/>
  <c r="F49" i="4" s="1"/>
  <c r="E46" i="4"/>
  <c r="F46" i="4" s="1" a="1"/>
  <c r="F46" i="4"/>
  <c r="E44" i="4"/>
  <c r="F44" i="4" s="1" a="1"/>
  <c r="F44" i="4"/>
  <c r="E42" i="4"/>
  <c r="F42" i="4" a="1"/>
  <c r="F42" i="4" s="1"/>
  <c r="E38" i="4"/>
  <c r="F38" i="4" a="1"/>
  <c r="F38" i="4" s="1"/>
  <c r="E36" i="4"/>
  <c r="F36" i="4" a="1"/>
  <c r="F36" i="4" s="1"/>
  <c r="E34" i="4"/>
  <c r="F34" i="4" s="1" a="1"/>
  <c r="F34" i="4" s="1"/>
  <c r="E30" i="4"/>
  <c r="F30" i="4" s="1" a="1"/>
  <c r="F30" i="4" s="1"/>
  <c r="E28" i="4"/>
  <c r="F28" i="4" s="1" a="1"/>
  <c r="F28" i="4" s="1"/>
  <c r="E25" i="4"/>
  <c r="F25" i="4" s="1" a="1"/>
  <c r="F25" i="4"/>
  <c r="E23" i="4"/>
  <c r="F23" i="4" s="1" a="1"/>
  <c r="F23" i="4"/>
  <c r="E21" i="4"/>
  <c r="F21" i="4" a="1"/>
  <c r="F21" i="4" s="1"/>
  <c r="E19" i="4"/>
  <c r="F19" i="4" a="1"/>
  <c r="F19" i="4" s="1"/>
  <c r="E17" i="4"/>
  <c r="F17" i="4" a="1"/>
  <c r="F17" i="4" s="1"/>
  <c r="E15" i="4"/>
  <c r="F15" i="4" s="1" a="1"/>
  <c r="F15" i="4" s="1"/>
  <c r="E13" i="4"/>
  <c r="F13" i="4" s="1" a="1"/>
  <c r="F13" i="4" s="1"/>
  <c r="E11" i="4"/>
  <c r="F11" i="4" s="1" a="1"/>
  <c r="F11" i="4" s="1"/>
  <c r="E9" i="4"/>
  <c r="F9" i="4" s="1" a="1"/>
  <c r="F9" i="4"/>
  <c r="E7" i="4"/>
  <c r="G115" i="2"/>
  <c r="H115" i="2" a="1"/>
  <c r="H115" i="2" s="1"/>
  <c r="I115" i="2"/>
  <c r="J115" i="2" s="1" a="1"/>
  <c r="J115" i="2" s="1"/>
  <c r="K115" i="2"/>
  <c r="L115" i="2" s="1" a="1"/>
  <c r="L115" i="2" s="1"/>
  <c r="M115" i="2"/>
  <c r="N115" i="2" s="1" a="1"/>
  <c r="N115" i="2"/>
  <c r="O115" i="2"/>
  <c r="P115" i="2" s="1" a="1"/>
  <c r="P115" i="2" s="1"/>
  <c r="Q115" i="2"/>
  <c r="R115" i="2" s="1" a="1"/>
  <c r="R115" i="2" s="1"/>
  <c r="G113" i="2"/>
  <c r="H113" i="2" a="1"/>
  <c r="H113" i="2" s="1"/>
  <c r="I113" i="2"/>
  <c r="J113" i="2" a="1"/>
  <c r="J113" i="2" s="1"/>
  <c r="K113" i="2"/>
  <c r="L113" i="2" a="1"/>
  <c r="L113" i="2" s="1"/>
  <c r="M113" i="2"/>
  <c r="N113" i="2" s="1" a="1"/>
  <c r="N113" i="2" s="1"/>
  <c r="O113" i="2"/>
  <c r="P113" i="2" s="1" a="1"/>
  <c r="P113" i="2" s="1"/>
  <c r="Q113" i="2"/>
  <c r="R113" i="2" s="1" a="1"/>
  <c r="R113" i="2"/>
  <c r="G111" i="2"/>
  <c r="H111" i="2" s="1" a="1"/>
  <c r="H111" i="2" s="1"/>
  <c r="I111" i="2"/>
  <c r="J111" i="2" s="1" a="1"/>
  <c r="J111" i="2" s="1"/>
  <c r="K111" i="2"/>
  <c r="L111" i="2" a="1"/>
  <c r="L111" i="2" s="1"/>
  <c r="M111" i="2"/>
  <c r="N111" i="2" a="1"/>
  <c r="N111" i="2" s="1"/>
  <c r="O111" i="2"/>
  <c r="P111" i="2" a="1"/>
  <c r="P111" i="2" s="1"/>
  <c r="Q111" i="2"/>
  <c r="R111" i="2" s="1" a="1"/>
  <c r="R111" i="2" s="1"/>
  <c r="G109" i="2"/>
  <c r="H109" i="2" s="1" a="1"/>
  <c r="H109" i="2" s="1"/>
  <c r="I109" i="2"/>
  <c r="J109" i="2" s="1" a="1"/>
  <c r="J109" i="2"/>
  <c r="K109" i="2"/>
  <c r="L109" i="2" s="1" a="1"/>
  <c r="L109" i="2" s="1"/>
  <c r="M109" i="2"/>
  <c r="N109" i="2" s="1" a="1"/>
  <c r="N109" i="2" s="1"/>
  <c r="O109" i="2"/>
  <c r="P109" i="2" a="1"/>
  <c r="P109" i="2" s="1"/>
  <c r="Q109" i="2"/>
  <c r="R109" i="2" a="1"/>
  <c r="R109" i="2" s="1"/>
  <c r="G107" i="2"/>
  <c r="H107" i="2" a="1"/>
  <c r="H107" i="2" s="1"/>
  <c r="I107" i="2"/>
  <c r="J107" i="2" s="1" a="1"/>
  <c r="J107" i="2" s="1"/>
  <c r="K107" i="2"/>
  <c r="L107" i="2" a="1"/>
  <c r="L107" i="2" s="1"/>
  <c r="M107" i="2"/>
  <c r="N107" i="2" s="1" a="1"/>
  <c r="N107" i="2"/>
  <c r="O107" i="2"/>
  <c r="P107" i="2" s="1" a="1"/>
  <c r="P107" i="2" s="1"/>
  <c r="Q107" i="2"/>
  <c r="R107" i="2" s="1" a="1"/>
  <c r="R107" i="2" s="1"/>
  <c r="G105" i="2"/>
  <c r="H105" i="2" a="1"/>
  <c r="H105" i="2" s="1"/>
  <c r="I105" i="2"/>
  <c r="J105" i="2" a="1"/>
  <c r="J105" i="2" s="1"/>
  <c r="K105" i="2"/>
  <c r="L105" i="2" a="1"/>
  <c r="L105" i="2" s="1"/>
  <c r="M105" i="2"/>
  <c r="N105" i="2" s="1" a="1"/>
  <c r="N105" i="2" s="1"/>
  <c r="O105" i="2"/>
  <c r="P105" i="2" a="1"/>
  <c r="P105" i="2" s="1"/>
  <c r="Q105" i="2"/>
  <c r="R105" i="2" s="1" a="1"/>
  <c r="R105" i="2"/>
  <c r="G103" i="2"/>
  <c r="H103" i="2" s="1" a="1"/>
  <c r="H103" i="2" s="1"/>
  <c r="I103" i="2"/>
  <c r="J103" i="2" s="1" a="1"/>
  <c r="J103" i="2" s="1"/>
  <c r="K103" i="2"/>
  <c r="L103" i="2" a="1"/>
  <c r="L103" i="2" s="1"/>
  <c r="M103" i="2"/>
  <c r="N103" i="2" a="1"/>
  <c r="N103" i="2" s="1"/>
  <c r="O103" i="2"/>
  <c r="P103" i="2" a="1"/>
  <c r="P103" i="2" s="1"/>
  <c r="Q103" i="2"/>
  <c r="R103" i="2" s="1" a="1"/>
  <c r="R103" i="2" s="1"/>
  <c r="G101" i="2"/>
  <c r="H101" i="2" a="1"/>
  <c r="H101" i="2" s="1"/>
  <c r="I101" i="2"/>
  <c r="J101" i="2" s="1" a="1"/>
  <c r="J101" i="2"/>
  <c r="K101" i="2"/>
  <c r="L101" i="2" s="1" a="1"/>
  <c r="L101" i="2" s="1"/>
  <c r="M101" i="2"/>
  <c r="N101" i="2" s="1" a="1"/>
  <c r="N101" i="2" s="1"/>
  <c r="O101" i="2"/>
  <c r="P101" i="2" a="1"/>
  <c r="P101" i="2" s="1"/>
  <c r="Q101" i="2"/>
  <c r="R101" i="2" a="1"/>
  <c r="R101" i="2" s="1"/>
  <c r="G99" i="2"/>
  <c r="H99" i="2" a="1"/>
  <c r="H99" i="2" s="1"/>
  <c r="I99" i="2"/>
  <c r="J99" i="2" s="1" a="1"/>
  <c r="J99" i="2" s="1"/>
  <c r="K99" i="2"/>
  <c r="L99" i="2" a="1"/>
  <c r="L99" i="2" s="1"/>
  <c r="M99" i="2"/>
  <c r="N99" i="2" s="1" a="1"/>
  <c r="N99" i="2"/>
  <c r="O99" i="2"/>
  <c r="P99" i="2" s="1" a="1"/>
  <c r="P99" i="2" s="1"/>
  <c r="Q99" i="2"/>
  <c r="R99" i="2" s="1" a="1"/>
  <c r="R99" i="2" s="1"/>
  <c r="G97" i="2"/>
  <c r="H97" i="2" a="1"/>
  <c r="H97" i="2" s="1"/>
  <c r="I97" i="2"/>
  <c r="J97" i="2" a="1"/>
  <c r="J97" i="2" s="1"/>
  <c r="K97" i="2"/>
  <c r="L97" i="2" a="1"/>
  <c r="L97" i="2" s="1"/>
  <c r="M97" i="2"/>
  <c r="N97" i="2" s="1" a="1"/>
  <c r="N97" i="2" s="1"/>
  <c r="O97" i="2"/>
  <c r="P97" i="2" a="1"/>
  <c r="P97" i="2" s="1"/>
  <c r="Q97" i="2"/>
  <c r="R97" i="2" s="1" a="1"/>
  <c r="R97" i="2"/>
  <c r="G95" i="2"/>
  <c r="H95" i="2" s="1" a="1"/>
  <c r="H95" i="2" s="1"/>
  <c r="I95" i="2"/>
  <c r="J95" i="2" s="1" a="1"/>
  <c r="J95" i="2" s="1"/>
  <c r="K95" i="2"/>
  <c r="L95" i="2" a="1"/>
  <c r="L95" i="2" s="1"/>
  <c r="M95" i="2"/>
  <c r="N95" i="2" a="1"/>
  <c r="N95" i="2" s="1"/>
  <c r="O95" i="2"/>
  <c r="P95" i="2" a="1"/>
  <c r="P95" i="2" s="1"/>
  <c r="Q95" i="2"/>
  <c r="R95" i="2" s="1" a="1"/>
  <c r="R95" i="2" s="1"/>
  <c r="G93" i="2"/>
  <c r="H93" i="2" a="1"/>
  <c r="H93" i="2" s="1"/>
  <c r="I93" i="2"/>
  <c r="J93" i="2" s="1" a="1"/>
  <c r="J93" i="2"/>
  <c r="K93" i="2"/>
  <c r="L93" i="2" s="1" a="1"/>
  <c r="L93" i="2" s="1"/>
  <c r="M93" i="2"/>
  <c r="N93" i="2" s="1" a="1"/>
  <c r="N93" i="2" s="1"/>
  <c r="O93" i="2"/>
  <c r="P93" i="2" a="1"/>
  <c r="P93" i="2" s="1"/>
  <c r="Q93" i="2"/>
  <c r="R93" i="2" a="1"/>
  <c r="R93" i="2" s="1"/>
  <c r="G91" i="2"/>
  <c r="H91" i="2" a="1"/>
  <c r="H91" i="2" s="1"/>
  <c r="I91" i="2"/>
  <c r="J91" i="2" s="1" a="1"/>
  <c r="J91" i="2" s="1"/>
  <c r="K91" i="2"/>
  <c r="L91" i="2" a="1"/>
  <c r="L91" i="2" s="1"/>
  <c r="M91" i="2"/>
  <c r="N91" i="2" s="1" a="1"/>
  <c r="N91" i="2"/>
  <c r="O91" i="2"/>
  <c r="P91" i="2" s="1" a="1"/>
  <c r="P91" i="2" s="1"/>
  <c r="Q91" i="2"/>
  <c r="R91" i="2" s="1" a="1"/>
  <c r="R91" i="2" s="1"/>
  <c r="G88" i="2"/>
  <c r="H88" i="2" a="1"/>
  <c r="H88" i="2" s="1"/>
  <c r="I88" i="2"/>
  <c r="J88" i="2" a="1"/>
  <c r="J88" i="2" s="1"/>
  <c r="K88" i="2"/>
  <c r="L88" i="2" a="1"/>
  <c r="L88" i="2" s="1"/>
  <c r="M88" i="2"/>
  <c r="N88" i="2" s="1" a="1"/>
  <c r="N88" i="2" s="1"/>
  <c r="O88" i="2"/>
  <c r="P88" i="2" a="1"/>
  <c r="P88" i="2" s="1"/>
  <c r="Q88" i="2"/>
  <c r="R88" i="2" s="1" a="1"/>
  <c r="R88" i="2"/>
  <c r="G86" i="2"/>
  <c r="H86" i="2" s="1" a="1"/>
  <c r="H86" i="2" s="1"/>
  <c r="I86" i="2"/>
  <c r="J86" i="2" s="1" a="1"/>
  <c r="J86" i="2" s="1"/>
  <c r="K86" i="2"/>
  <c r="L86" i="2" a="1"/>
  <c r="L86" i="2" s="1"/>
  <c r="M86" i="2"/>
  <c r="N86" i="2" a="1"/>
  <c r="N86" i="2" s="1"/>
  <c r="O86" i="2"/>
  <c r="P86" i="2" a="1"/>
  <c r="P86" i="2" s="1"/>
  <c r="Q86" i="2"/>
  <c r="R86" i="2" s="1" a="1"/>
  <c r="R86" i="2" s="1"/>
  <c r="G84" i="2"/>
  <c r="H84" i="2" a="1"/>
  <c r="H84" i="2" s="1"/>
  <c r="I84" i="2"/>
  <c r="J84" i="2" s="1" a="1"/>
  <c r="J84" i="2"/>
  <c r="K84" i="2"/>
  <c r="L84" i="2" s="1" a="1"/>
  <c r="L84" i="2" s="1"/>
  <c r="M84" i="2"/>
  <c r="N84" i="2" s="1" a="1"/>
  <c r="N84" i="2" s="1"/>
  <c r="O84" i="2"/>
  <c r="P84" i="2" a="1"/>
  <c r="P84" i="2" s="1"/>
  <c r="Q84" i="2"/>
  <c r="R84" i="2" a="1"/>
  <c r="R84" i="2" s="1"/>
  <c r="G82" i="2"/>
  <c r="H82" i="2" a="1"/>
  <c r="H82" i="2" s="1"/>
  <c r="I82" i="2"/>
  <c r="J82" i="2" s="1" a="1"/>
  <c r="J82" i="2" s="1"/>
  <c r="K82" i="2"/>
  <c r="L82" i="2" a="1"/>
  <c r="L82" i="2" s="1"/>
  <c r="M82" i="2"/>
  <c r="N82" i="2" s="1" a="1"/>
  <c r="N82" i="2"/>
  <c r="O82" i="2"/>
  <c r="P82" i="2" s="1" a="1"/>
  <c r="P82" i="2" s="1"/>
  <c r="Q82" i="2"/>
  <c r="R82" i="2" s="1" a="1"/>
  <c r="R82" i="2" s="1"/>
  <c r="G80" i="2"/>
  <c r="H80" i="2" a="1"/>
  <c r="H80" i="2" s="1"/>
  <c r="I80" i="2"/>
  <c r="J80" i="2" a="1"/>
  <c r="J80" i="2" s="1"/>
  <c r="K80" i="2"/>
  <c r="L80" i="2" a="1"/>
  <c r="L80" i="2" s="1"/>
  <c r="M80" i="2"/>
  <c r="N80" i="2" s="1" a="1"/>
  <c r="N80" i="2" s="1"/>
  <c r="O80" i="2"/>
  <c r="P80" i="2" a="1"/>
  <c r="P80" i="2" s="1"/>
  <c r="Q80" i="2"/>
  <c r="R80" i="2" s="1" a="1"/>
  <c r="R80" i="2"/>
  <c r="G78" i="2"/>
  <c r="H78" i="2" s="1" a="1"/>
  <c r="H78" i="2" s="1"/>
  <c r="I78" i="2"/>
  <c r="J78" i="2" s="1" a="1"/>
  <c r="J78" i="2" s="1"/>
  <c r="K78" i="2"/>
  <c r="L78" i="2" a="1"/>
  <c r="L78" i="2" s="1"/>
  <c r="M78" i="2"/>
  <c r="N78" i="2" a="1"/>
  <c r="N78" i="2" s="1"/>
  <c r="O78" i="2"/>
  <c r="P78" i="2" a="1"/>
  <c r="P78" i="2" s="1"/>
  <c r="Q78" i="2"/>
  <c r="R78" i="2" s="1" a="1"/>
  <c r="R78" i="2" s="1"/>
  <c r="G76" i="2"/>
  <c r="H76" i="2" a="1"/>
  <c r="H76" i="2" s="1"/>
  <c r="I76" i="2"/>
  <c r="J76" i="2" s="1" a="1"/>
  <c r="J76" i="2"/>
  <c r="K76" i="2"/>
  <c r="L76" i="2" s="1" a="1"/>
  <c r="L76" i="2" s="1"/>
  <c r="M76" i="2"/>
  <c r="N76" i="2" s="1" a="1"/>
  <c r="N76" i="2" s="1"/>
  <c r="O76" i="2"/>
  <c r="P76" i="2" a="1"/>
  <c r="P76" i="2" s="1"/>
  <c r="Q76" i="2"/>
  <c r="R76" i="2" a="1"/>
  <c r="R76" i="2" s="1"/>
  <c r="G74" i="2"/>
  <c r="H74" i="2" a="1"/>
  <c r="H74" i="2" s="1"/>
  <c r="I74" i="2"/>
  <c r="J74" i="2" s="1" a="1"/>
  <c r="J74" i="2" s="1"/>
  <c r="K74" i="2"/>
  <c r="L74" i="2" a="1"/>
  <c r="L74" i="2" s="1"/>
  <c r="M74" i="2"/>
  <c r="N74" i="2" s="1" a="1"/>
  <c r="N74" i="2"/>
  <c r="O74" i="2"/>
  <c r="P74" i="2" s="1" a="1"/>
  <c r="P74" i="2" s="1"/>
  <c r="Q74" i="2"/>
  <c r="R74" i="2" s="1" a="1"/>
  <c r="R74" i="2" s="1"/>
  <c r="G72" i="2"/>
  <c r="H72" i="2" s="1" a="1"/>
  <c r="H72" i="2"/>
  <c r="I72" i="2"/>
  <c r="J72" i="2" s="1" a="1"/>
  <c r="J72" i="2" s="1"/>
  <c r="K72" i="2"/>
  <c r="L72" i="2" s="1" a="1"/>
  <c r="L72" i="2" s="1"/>
  <c r="M72" i="2"/>
  <c r="N72" i="2" a="1"/>
  <c r="N72" i="2" s="1"/>
  <c r="O72" i="2"/>
  <c r="P72" i="2" a="1"/>
  <c r="P72" i="2" s="1"/>
  <c r="Q72" i="2"/>
  <c r="R72" i="2" a="1"/>
  <c r="R72" i="2" s="1"/>
  <c r="G70" i="2"/>
  <c r="H70" i="2" s="1" a="1"/>
  <c r="H70" i="2" s="1"/>
  <c r="I70" i="2"/>
  <c r="J70" i="2" s="1" a="1"/>
  <c r="J70" i="2" s="1"/>
  <c r="K70" i="2"/>
  <c r="L70" i="2" s="1" a="1"/>
  <c r="L70" i="2" s="1"/>
  <c r="M70" i="2"/>
  <c r="N70" i="2" s="1" a="1"/>
  <c r="N70" i="2" s="1"/>
  <c r="O70" i="2"/>
  <c r="P70" i="2" s="1" a="1"/>
  <c r="P70" i="2" s="1"/>
  <c r="Q70" i="2"/>
  <c r="R70" i="2" a="1"/>
  <c r="R70" i="2" s="1"/>
  <c r="G46" i="2"/>
  <c r="H46" i="2" a="1"/>
  <c r="H46" i="2" s="1"/>
  <c r="I46" i="2"/>
  <c r="J46" i="2" a="1"/>
  <c r="J46" i="2" s="1"/>
  <c r="K46" i="2"/>
  <c r="L46" i="2" s="1" a="1"/>
  <c r="L46" i="2" s="1"/>
  <c r="M46" i="2"/>
  <c r="N46" i="2" s="1" a="1"/>
  <c r="N46" i="2" s="1"/>
  <c r="O46" i="2"/>
  <c r="P46" i="2" s="1" a="1"/>
  <c r="P46" i="2"/>
  <c r="Q46" i="2"/>
  <c r="R46" i="2" s="1" a="1"/>
  <c r="R46" i="2" s="1"/>
  <c r="G44" i="2"/>
  <c r="H44" i="2" s="1" a="1"/>
  <c r="H44" i="2" s="1"/>
  <c r="I44" i="2"/>
  <c r="J44" i="2" a="1"/>
  <c r="J44" i="2" s="1"/>
  <c r="K44" i="2"/>
  <c r="L44" i="2" a="1"/>
  <c r="L44" i="2" s="1"/>
  <c r="M44" i="2"/>
  <c r="N44" i="2" a="1"/>
  <c r="N44" i="2" s="1"/>
  <c r="O44" i="2"/>
  <c r="P44" i="2" s="1" a="1"/>
  <c r="P44" i="2" s="1"/>
  <c r="Q44" i="2"/>
  <c r="R44" i="2" s="1" a="1"/>
  <c r="R44" i="2" s="1"/>
  <c r="G42" i="2"/>
  <c r="H42" i="2" s="1" a="1"/>
  <c r="H42" i="2" s="1"/>
  <c r="I42" i="2"/>
  <c r="J42" i="2" s="1" a="1"/>
  <c r="J42" i="2" s="1"/>
  <c r="K42" i="2"/>
  <c r="L42" i="2" s="1" a="1"/>
  <c r="L42" i="2" s="1"/>
  <c r="M42" i="2"/>
  <c r="N42" i="2" a="1"/>
  <c r="N42" i="2" s="1"/>
  <c r="O42" i="2"/>
  <c r="P42" i="2" a="1"/>
  <c r="P42" i="2" s="1"/>
  <c r="Q42" i="2"/>
  <c r="R42" i="2" a="1"/>
  <c r="R42" i="2" s="1"/>
  <c r="G38" i="2"/>
  <c r="H38" i="2" s="1" a="1"/>
  <c r="H38" i="2" s="1"/>
  <c r="I38" i="2"/>
  <c r="J38" i="2" s="1" a="1"/>
  <c r="J38" i="2" s="1"/>
  <c r="K38" i="2"/>
  <c r="L38" i="2" s="1" a="1"/>
  <c r="L38" i="2"/>
  <c r="M38" i="2"/>
  <c r="N38" i="2" s="1" a="1"/>
  <c r="N38" i="2" s="1"/>
  <c r="O38" i="2"/>
  <c r="P38" i="2" s="1" a="1"/>
  <c r="P38" i="2" s="1"/>
  <c r="Q38" i="2"/>
  <c r="R38" i="2" a="1"/>
  <c r="R38" i="2" s="1"/>
  <c r="G36" i="2"/>
  <c r="H36" i="2" a="1"/>
  <c r="H36" i="2" s="1"/>
  <c r="I36" i="2"/>
  <c r="J36" i="2" a="1"/>
  <c r="J36" i="2" s="1"/>
  <c r="K36" i="2"/>
  <c r="L36" i="2" s="1" a="1"/>
  <c r="L36" i="2" s="1"/>
  <c r="M36" i="2"/>
  <c r="N36" i="2" s="1" a="1"/>
  <c r="N36" i="2" s="1"/>
  <c r="O36" i="2"/>
  <c r="P36" i="2" s="1" a="1"/>
  <c r="P36" i="2" s="1"/>
  <c r="Q36" i="2"/>
  <c r="R36" i="2" s="1" a="1"/>
  <c r="R36" i="2" s="1"/>
  <c r="G34" i="2"/>
  <c r="H34" i="2" s="1" a="1"/>
  <c r="H34" i="2" s="1"/>
  <c r="I34" i="2"/>
  <c r="J34" i="2" a="1"/>
  <c r="J34" i="2" s="1"/>
  <c r="K34" i="2"/>
  <c r="L34" i="2" a="1"/>
  <c r="L34" i="2" s="1"/>
  <c r="M34" i="2"/>
  <c r="N34" i="2" a="1"/>
  <c r="N34" i="2" s="1"/>
  <c r="O34" i="2"/>
  <c r="P34" i="2" s="1" a="1"/>
  <c r="P34" i="2" s="1"/>
  <c r="Q34" i="2"/>
  <c r="R34" i="2" s="1" a="1"/>
  <c r="R34" i="2" s="1"/>
  <c r="G30" i="2"/>
  <c r="H30" i="2" s="1" a="1"/>
  <c r="H30" i="2"/>
  <c r="I30" i="2"/>
  <c r="J30" i="2" s="1" a="1"/>
  <c r="J30" i="2" s="1"/>
  <c r="K30" i="2"/>
  <c r="L30" i="2" s="1" a="1"/>
  <c r="L30" i="2" s="1"/>
  <c r="M30" i="2"/>
  <c r="N30" i="2" a="1"/>
  <c r="N30" i="2" s="1"/>
  <c r="O30" i="2"/>
  <c r="P30" i="2" a="1"/>
  <c r="P30" i="2" s="1"/>
  <c r="Q30" i="2"/>
  <c r="R30" i="2" a="1"/>
  <c r="R30" i="2" s="1"/>
  <c r="G28" i="2"/>
  <c r="H28" i="2" s="1" a="1"/>
  <c r="H28" i="2" s="1"/>
  <c r="I28" i="2"/>
  <c r="J28" i="2" s="1" a="1"/>
  <c r="J28" i="2" s="1"/>
  <c r="K28" i="2"/>
  <c r="L28" i="2" s="1" a="1"/>
  <c r="L28" i="2" s="1"/>
  <c r="M28" i="2"/>
  <c r="N28" i="2" s="1" a="1"/>
  <c r="N28" i="2" s="1"/>
  <c r="O28" i="2"/>
  <c r="P28" i="2" s="1" a="1"/>
  <c r="P28" i="2" s="1"/>
  <c r="Q28" i="2"/>
  <c r="R28" i="2" a="1"/>
  <c r="R28" i="2" s="1"/>
  <c r="G25" i="2"/>
  <c r="H25" i="2" a="1"/>
  <c r="H25" i="2" s="1"/>
  <c r="I25" i="2"/>
  <c r="J25" i="2" a="1"/>
  <c r="J25" i="2" s="1"/>
  <c r="K25" i="2"/>
  <c r="L25" i="2" s="1" a="1"/>
  <c r="L25" i="2" s="1"/>
  <c r="M25" i="2"/>
  <c r="N25" i="2" s="1" a="1"/>
  <c r="N25" i="2" s="1"/>
  <c r="O25" i="2"/>
  <c r="P25" i="2" s="1" a="1"/>
  <c r="P25" i="2"/>
  <c r="Q25" i="2"/>
  <c r="R25" i="2" s="1" a="1"/>
  <c r="R25" i="2" s="1"/>
  <c r="G23" i="2"/>
  <c r="H23" i="2" s="1" a="1"/>
  <c r="H23" i="2" s="1"/>
  <c r="I23" i="2"/>
  <c r="J23" i="2" a="1"/>
  <c r="J23" i="2" s="1"/>
  <c r="K23" i="2"/>
  <c r="L23" i="2" a="1"/>
  <c r="L23" i="2" s="1"/>
  <c r="M23" i="2"/>
  <c r="N23" i="2" a="1"/>
  <c r="N23" i="2" s="1"/>
  <c r="O23" i="2"/>
  <c r="P23" i="2" s="1" a="1"/>
  <c r="P23" i="2" s="1"/>
  <c r="Q23" i="2"/>
  <c r="R23" i="2" s="1" a="1"/>
  <c r="R23" i="2" s="1"/>
  <c r="G21" i="2"/>
  <c r="H21" i="2" s="1" a="1"/>
  <c r="H21" i="2" s="1"/>
  <c r="I21" i="2"/>
  <c r="J21" i="2" s="1" a="1"/>
  <c r="J21" i="2" s="1"/>
  <c r="K21" i="2"/>
  <c r="L21" i="2" s="1" a="1"/>
  <c r="L21" i="2" s="1"/>
  <c r="M21" i="2"/>
  <c r="N21" i="2" a="1"/>
  <c r="N21" i="2" s="1"/>
  <c r="O21" i="2"/>
  <c r="P21" i="2" a="1"/>
  <c r="P21" i="2" s="1"/>
  <c r="Q21" i="2"/>
  <c r="R21" i="2" a="1"/>
  <c r="R21" i="2" s="1"/>
  <c r="G19" i="2"/>
  <c r="H19" i="2" s="1" a="1"/>
  <c r="H19" i="2" s="1"/>
  <c r="I19" i="2"/>
  <c r="J19" i="2" s="1" a="1"/>
  <c r="J19" i="2" s="1"/>
  <c r="K19" i="2"/>
  <c r="L19" i="2" s="1" a="1"/>
  <c r="L19" i="2"/>
  <c r="M19" i="2"/>
  <c r="N19" i="2" s="1" a="1"/>
  <c r="N19" i="2" s="1"/>
  <c r="O19" i="2"/>
  <c r="P19" i="2" s="1" a="1"/>
  <c r="P19" i="2" s="1"/>
  <c r="Q19" i="2"/>
  <c r="R19" i="2" a="1"/>
  <c r="R19" i="2" s="1"/>
  <c r="G17" i="2"/>
  <c r="H17" i="2" a="1"/>
  <c r="H17" i="2" s="1"/>
  <c r="I17" i="2"/>
  <c r="J17" i="2" a="1"/>
  <c r="J17" i="2" s="1"/>
  <c r="K17" i="2"/>
  <c r="L17" i="2" s="1" a="1"/>
  <c r="L17" i="2" s="1"/>
  <c r="M17" i="2"/>
  <c r="N17" i="2" s="1" a="1"/>
  <c r="N17" i="2" s="1"/>
  <c r="O17" i="2"/>
  <c r="P17" i="2" s="1" a="1"/>
  <c r="P17" i="2" s="1"/>
  <c r="Q17" i="2"/>
  <c r="R17" i="2" s="1" a="1"/>
  <c r="R17" i="2" s="1"/>
  <c r="G15" i="2"/>
  <c r="H15" i="2" s="1" a="1"/>
  <c r="H15" i="2" s="1"/>
  <c r="I15" i="2"/>
  <c r="J15" i="2" a="1"/>
  <c r="J15" i="2" s="1"/>
  <c r="K15" i="2"/>
  <c r="L15" i="2" a="1"/>
  <c r="L15" i="2" s="1"/>
  <c r="M15" i="2"/>
  <c r="N15" i="2" a="1"/>
  <c r="N15" i="2" s="1"/>
  <c r="O15" i="2"/>
  <c r="P15" i="2" s="1" a="1"/>
  <c r="P15" i="2" s="1"/>
  <c r="Q15" i="2"/>
  <c r="R15" i="2" s="1" a="1"/>
  <c r="R15" i="2" s="1"/>
  <c r="G13" i="2"/>
  <c r="H13" i="2" s="1" a="1"/>
  <c r="H13" i="2"/>
  <c r="I13" i="2"/>
  <c r="J13" i="2" s="1" a="1"/>
  <c r="J13" i="2" s="1"/>
  <c r="K13" i="2"/>
  <c r="L13" i="2" s="1" a="1"/>
  <c r="L13" i="2" s="1"/>
  <c r="M13" i="2"/>
  <c r="N13" i="2" a="1"/>
  <c r="N13" i="2" s="1"/>
  <c r="O13" i="2"/>
  <c r="P13" i="2" a="1"/>
  <c r="P13" i="2" s="1"/>
  <c r="Q13" i="2"/>
  <c r="R13" i="2" a="1"/>
  <c r="R13" i="2" s="1"/>
  <c r="G11" i="2"/>
  <c r="H11" i="2" s="1" a="1"/>
  <c r="H11" i="2" s="1"/>
  <c r="I11" i="2"/>
  <c r="J11" i="2" s="1" a="1"/>
  <c r="J11" i="2" s="1"/>
  <c r="K11" i="2"/>
  <c r="L11" i="2" s="1" a="1"/>
  <c r="L11" i="2" s="1"/>
  <c r="M11" i="2"/>
  <c r="N11" i="2" s="1" a="1"/>
  <c r="N11" i="2" s="1"/>
  <c r="O11" i="2"/>
  <c r="P11" i="2" s="1" a="1"/>
  <c r="P11" i="2" s="1"/>
  <c r="Q11" i="2"/>
  <c r="R11" i="2" a="1"/>
  <c r="R11" i="2" s="1"/>
  <c r="G9" i="2"/>
  <c r="H9" i="2" a="1"/>
  <c r="H9" i="2" s="1"/>
  <c r="I9" i="2"/>
  <c r="J9" i="2" a="1"/>
  <c r="J9" i="2" s="1"/>
  <c r="K9" i="2"/>
  <c r="L9" i="2" s="1" a="1"/>
  <c r="L9" i="2" s="1"/>
  <c r="M9" i="2"/>
  <c r="N9" i="2" s="1" a="1"/>
  <c r="N9" i="2" s="1"/>
  <c r="O9" i="2"/>
  <c r="P9" i="2" s="1" a="1"/>
  <c r="P9" i="2"/>
  <c r="Q9" i="2"/>
  <c r="R9" i="2" s="1" a="1"/>
  <c r="R9" i="2" s="1"/>
  <c r="G7" i="2"/>
  <c r="H7" i="2" s="1" a="1"/>
  <c r="H7" i="2" s="1"/>
  <c r="I7" i="2"/>
  <c r="J7" i="2" a="1"/>
  <c r="J7" i="2" s="1"/>
  <c r="K7" i="2"/>
  <c r="L7" i="2" a="1"/>
  <c r="L7" i="2" s="1"/>
  <c r="M7" i="2"/>
  <c r="N7" i="2" a="1"/>
  <c r="N7" i="2" s="1"/>
  <c r="O7" i="2"/>
  <c r="P7" i="2" s="1" a="1"/>
  <c r="P7" i="2" s="1"/>
  <c r="Q7" i="2"/>
  <c r="R7" i="2" s="1" a="1"/>
  <c r="R7" i="2" s="1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a="1"/>
  <c r="L99" i="3" s="1"/>
  <c r="I99" i="3"/>
  <c r="J99" i="3" s="1" a="1"/>
  <c r="J99" i="3" s="1"/>
  <c r="G99" i="3"/>
  <c r="H99" i="3" s="1" a="1"/>
  <c r="H99" i="3" s="1"/>
  <c r="E99" i="3"/>
  <c r="F99" i="3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a="1"/>
  <c r="L63" i="3" s="1"/>
  <c r="I63" i="3"/>
  <c r="J63" i="3" s="1" a="1"/>
  <c r="J63" i="3" s="1"/>
  <c r="G63" i="3"/>
  <c r="H63" i="3" s="1" a="1"/>
  <c r="H63" i="3" s="1"/>
  <c r="E63" i="3"/>
  <c r="F63" i="3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 s="1"/>
  <c r="P40" i="4" a="1"/>
  <c r="P40" i="4" s="1"/>
  <c r="N40" i="4" a="1"/>
  <c r="N40" i="4"/>
  <c r="L40" i="4" a="1"/>
  <c r="L40" i="4" s="1"/>
  <c r="J40" i="4" a="1"/>
  <c r="J40" i="4" s="1"/>
  <c r="H40" i="4" a="1"/>
  <c r="H40" i="4" s="1"/>
  <c r="H7" i="7" a="1"/>
  <c r="H7" i="7"/>
  <c r="T6" i="5"/>
  <c r="S5" i="5"/>
  <c r="T5" i="5"/>
  <c r="U5" i="5"/>
  <c r="V5" i="5"/>
  <c r="W5" i="5"/>
  <c r="X5" i="5"/>
  <c r="Y5" i="5"/>
  <c r="E26" i="7"/>
  <c r="E47" i="7" s="1"/>
  <c r="E68" i="7" s="1"/>
  <c r="E89" i="7" s="1"/>
  <c r="E116" i="7" s="1"/>
  <c r="Q4" i="7" s="1"/>
  <c r="F7" i="7" a="1"/>
  <c r="F7" i="7" s="1"/>
  <c r="O4" i="7" s="1"/>
  <c r="G26" i="7"/>
  <c r="G47" i="7" s="1"/>
  <c r="G68" i="7" s="1"/>
  <c r="G89" i="7" s="1"/>
  <c r="G116" i="7" s="1"/>
  <c r="Q5" i="7" s="1"/>
  <c r="M26" i="5"/>
  <c r="M47" i="5" s="1"/>
  <c r="G26" i="5"/>
  <c r="G47" i="5" s="1"/>
  <c r="G68" i="5" s="1"/>
  <c r="G89" i="5" s="1"/>
  <c r="G116" i="5" s="1"/>
  <c r="Z5" i="5" s="1"/>
  <c r="K26" i="5"/>
  <c r="K47" i="5" s="1"/>
  <c r="K68" i="5" s="1"/>
  <c r="K89" i="5" s="1"/>
  <c r="K116" i="5" s="1"/>
  <c r="Z7" i="5" s="1"/>
  <c r="F7" i="5" a="1"/>
  <c r="F7" i="5" s="1"/>
  <c r="W4" i="5" s="1"/>
  <c r="I26" i="5"/>
  <c r="I47" i="5" s="1"/>
  <c r="K26" i="4"/>
  <c r="K47" i="4" s="1"/>
  <c r="K68" i="4" s="1"/>
  <c r="K89" i="4" s="1"/>
  <c r="K116" i="4" s="1"/>
  <c r="AC7" i="4" s="1"/>
  <c r="I26" i="4"/>
  <c r="M68" i="5"/>
  <c r="M89" i="5" s="1"/>
  <c r="M116" i="5" s="1"/>
  <c r="Z8" i="5" s="1"/>
  <c r="N5" i="7"/>
  <c r="E115" i="2"/>
  <c r="F115" i="2" a="1"/>
  <c r="F115" i="2" s="1"/>
  <c r="E113" i="2"/>
  <c r="F113" i="2" s="1" a="1"/>
  <c r="F113" i="2" s="1"/>
  <c r="E111" i="2"/>
  <c r="F111" i="2" a="1"/>
  <c r="F111" i="2" s="1"/>
  <c r="E109" i="2"/>
  <c r="F109" i="2" a="1"/>
  <c r="F109" i="2" s="1"/>
  <c r="E107" i="2"/>
  <c r="F107" i="2" a="1"/>
  <c r="F107" i="2" s="1"/>
  <c r="E105" i="2"/>
  <c r="F105" i="2" a="1"/>
  <c r="F105" i="2"/>
  <c r="E103" i="2"/>
  <c r="F103" i="2" s="1" a="1"/>
  <c r="F103" i="2" s="1"/>
  <c r="E101" i="2"/>
  <c r="F101" i="2" s="1" a="1"/>
  <c r="F101" i="2"/>
  <c r="E99" i="2"/>
  <c r="F99" i="2" a="1"/>
  <c r="F99" i="2" s="1"/>
  <c r="E97" i="2"/>
  <c r="F97" i="2" s="1" a="1"/>
  <c r="F97" i="2"/>
  <c r="E95" i="2"/>
  <c r="F95" i="2" a="1"/>
  <c r="F95" i="2"/>
  <c r="E93" i="2"/>
  <c r="F93" i="2" a="1"/>
  <c r="F93" i="2" s="1"/>
  <c r="E91" i="2"/>
  <c r="F91" i="2" a="1"/>
  <c r="F91" i="2" s="1"/>
  <c r="E88" i="2"/>
  <c r="F88" i="2" s="1" a="1"/>
  <c r="F88" i="2" s="1"/>
  <c r="E86" i="2"/>
  <c r="F86" i="2" s="1" a="1"/>
  <c r="F86" i="2" s="1"/>
  <c r="E84" i="2"/>
  <c r="F84" i="2" s="1" a="1"/>
  <c r="F84" i="2"/>
  <c r="E82" i="2"/>
  <c r="F82" i="2" a="1"/>
  <c r="F82" i="2"/>
  <c r="E80" i="2"/>
  <c r="F80" i="2" s="1" a="1"/>
  <c r="F80" i="2"/>
  <c r="E78" i="2"/>
  <c r="F78" i="2" a="1"/>
  <c r="F78" i="2"/>
  <c r="E76" i="2"/>
  <c r="F76" i="2" a="1"/>
  <c r="F76" i="2" s="1"/>
  <c r="E74" i="2"/>
  <c r="F74" i="2" a="1"/>
  <c r="F74" i="2" s="1"/>
  <c r="E72" i="2"/>
  <c r="F72" i="2" a="1"/>
  <c r="F72" i="2" s="1"/>
  <c r="E70" i="2"/>
  <c r="F70" i="2" s="1" a="1"/>
  <c r="F70" i="2" s="1"/>
  <c r="E46" i="2"/>
  <c r="F46" i="2" s="1" a="1"/>
  <c r="F46" i="2"/>
  <c r="E44" i="2"/>
  <c r="F44" i="2" s="1" a="1"/>
  <c r="F44" i="2" s="1"/>
  <c r="E42" i="2"/>
  <c r="F42" i="2" s="1" a="1"/>
  <c r="F42" i="2" s="1"/>
  <c r="E38" i="2"/>
  <c r="F38" i="2" a="1"/>
  <c r="F38" i="2"/>
  <c r="E36" i="2"/>
  <c r="F36" i="2" s="1" a="1"/>
  <c r="F36" i="2" s="1"/>
  <c r="E34" i="2"/>
  <c r="F34" i="2" a="1"/>
  <c r="F34" i="2" s="1"/>
  <c r="E30" i="2"/>
  <c r="F30" i="2" s="1" a="1"/>
  <c r="F30" i="2" s="1"/>
  <c r="E28" i="2"/>
  <c r="F28" i="2" s="1" a="1"/>
  <c r="F28" i="2" s="1"/>
  <c r="E25" i="2"/>
  <c r="F25" i="2" a="1"/>
  <c r="F25" i="2"/>
  <c r="E23" i="2"/>
  <c r="F23" i="2" a="1"/>
  <c r="F23" i="2" s="1"/>
  <c r="E21" i="2"/>
  <c r="F21" i="2" s="1" a="1"/>
  <c r="F21" i="2"/>
  <c r="E19" i="2"/>
  <c r="F19" i="2" a="1"/>
  <c r="F19" i="2"/>
  <c r="E17" i="2"/>
  <c r="F17" i="2" a="1"/>
  <c r="F17" i="2" s="1"/>
  <c r="E15" i="2"/>
  <c r="F15" i="2" a="1"/>
  <c r="F15" i="2"/>
  <c r="E13" i="2"/>
  <c r="F13" i="2" a="1"/>
  <c r="F13" i="2"/>
  <c r="E11" i="2"/>
  <c r="F11" i="2" s="1" a="1"/>
  <c r="F11" i="2" s="1"/>
  <c r="E9" i="2"/>
  <c r="F9" i="2" s="1" a="1"/>
  <c r="F9" i="2" s="1"/>
  <c r="E7" i="2"/>
  <c r="F7" i="2" s="1" a="1"/>
  <c r="F7" i="2" s="1"/>
  <c r="G115" i="1"/>
  <c r="H115" i="1" s="1" a="1"/>
  <c r="H115" i="1" s="1"/>
  <c r="I115" i="1"/>
  <c r="J115" i="1" s="1" a="1"/>
  <c r="J115" i="1" s="1"/>
  <c r="K115" i="1"/>
  <c r="L115" i="1" s="1" a="1"/>
  <c r="L115" i="1" s="1"/>
  <c r="M115" i="1"/>
  <c r="N115" i="1" a="1"/>
  <c r="N115" i="1" s="1"/>
  <c r="O115" i="1"/>
  <c r="P115" i="1" s="1" a="1"/>
  <c r="P115" i="1" s="1"/>
  <c r="Q115" i="1"/>
  <c r="R115" i="1" s="1" a="1"/>
  <c r="R115" i="1" s="1"/>
  <c r="S115" i="1"/>
  <c r="T115" i="1" a="1"/>
  <c r="T115" i="1"/>
  <c r="G113" i="1"/>
  <c r="H113" i="1" a="1"/>
  <c r="H113" i="1" s="1"/>
  <c r="I113" i="1"/>
  <c r="J113" i="1" s="1" a="1"/>
  <c r="J113" i="1"/>
  <c r="K113" i="1"/>
  <c r="L113" i="1" a="1"/>
  <c r="L113" i="1"/>
  <c r="M113" i="1"/>
  <c r="N113" i="1" a="1"/>
  <c r="N113" i="1" s="1"/>
  <c r="O113" i="1"/>
  <c r="P113" i="1" a="1"/>
  <c r="P113" i="1" s="1"/>
  <c r="Q113" i="1"/>
  <c r="R113" i="1" a="1"/>
  <c r="R113" i="1" s="1"/>
  <c r="S113" i="1"/>
  <c r="T113" i="1" s="1" a="1"/>
  <c r="T113" i="1" s="1"/>
  <c r="G111" i="1"/>
  <c r="H111" i="1" a="1"/>
  <c r="H111" i="1" s="1"/>
  <c r="I111" i="1"/>
  <c r="J111" i="1" a="1"/>
  <c r="J111" i="1" s="1"/>
  <c r="K111" i="1"/>
  <c r="L111" i="1" s="1" a="1"/>
  <c r="L111" i="1" s="1"/>
  <c r="M111" i="1"/>
  <c r="N111" i="1" a="1"/>
  <c r="N111" i="1" s="1"/>
  <c r="O111" i="1"/>
  <c r="P111" i="1" a="1"/>
  <c r="P111" i="1" s="1"/>
  <c r="Q111" i="1"/>
  <c r="R111" i="1" a="1"/>
  <c r="R111" i="1"/>
  <c r="S111" i="1"/>
  <c r="T111" i="1" s="1" a="1"/>
  <c r="T111" i="1" s="1"/>
  <c r="G109" i="1"/>
  <c r="H109" i="1" s="1" a="1"/>
  <c r="H109" i="1" s="1"/>
  <c r="I109" i="1"/>
  <c r="J109" i="1" s="1" a="1"/>
  <c r="J109" i="1" s="1"/>
  <c r="K109" i="1"/>
  <c r="L109" i="1" s="1" a="1"/>
  <c r="L109" i="1" s="1"/>
  <c r="M109" i="1"/>
  <c r="N109" i="1" s="1" a="1"/>
  <c r="N109" i="1" s="1"/>
  <c r="O109" i="1"/>
  <c r="P109" i="1" s="1" a="1"/>
  <c r="P109" i="1" s="1"/>
  <c r="Q109" i="1"/>
  <c r="R109" i="1" s="1" a="1"/>
  <c r="R109" i="1" s="1"/>
  <c r="S109" i="1"/>
  <c r="T109" i="1" a="1"/>
  <c r="T109" i="1"/>
  <c r="G107" i="1"/>
  <c r="H107" i="1" a="1"/>
  <c r="H107" i="1"/>
  <c r="I107" i="1"/>
  <c r="J107" i="1" a="1"/>
  <c r="J107" i="1" s="1"/>
  <c r="K107" i="1"/>
  <c r="L107" i="1" s="1" a="1"/>
  <c r="L107" i="1" s="1"/>
  <c r="M107" i="1"/>
  <c r="N107" i="1" a="1"/>
  <c r="N107" i="1"/>
  <c r="O107" i="1"/>
  <c r="P107" i="1" s="1" a="1"/>
  <c r="P107" i="1"/>
  <c r="Q107" i="1"/>
  <c r="R107" i="1" s="1" a="1"/>
  <c r="R107" i="1" s="1"/>
  <c r="S107" i="1"/>
  <c r="T107" i="1" a="1"/>
  <c r="T107" i="1"/>
  <c r="G105" i="1"/>
  <c r="H105" i="1" a="1"/>
  <c r="H105" i="1"/>
  <c r="I105" i="1"/>
  <c r="J105" i="1" a="1"/>
  <c r="J105" i="1" s="1"/>
  <c r="K105" i="1"/>
  <c r="L105" i="1" a="1"/>
  <c r="L105" i="1" s="1"/>
  <c r="M105" i="1"/>
  <c r="N105" i="1" a="1"/>
  <c r="N105" i="1"/>
  <c r="O105" i="1"/>
  <c r="P105" i="1" a="1"/>
  <c r="P105" i="1" s="1"/>
  <c r="Q105" i="1"/>
  <c r="R105" i="1" s="1" a="1"/>
  <c r="R105" i="1"/>
  <c r="S105" i="1"/>
  <c r="T105" i="1" a="1"/>
  <c r="T105" i="1"/>
  <c r="G103" i="1"/>
  <c r="H103" i="1" a="1"/>
  <c r="H103" i="1" s="1"/>
  <c r="I103" i="1"/>
  <c r="J103" i="1" a="1"/>
  <c r="J103" i="1" s="1"/>
  <c r="K103" i="1"/>
  <c r="L103" i="1" a="1"/>
  <c r="L103" i="1" s="1"/>
  <c r="M103" i="1"/>
  <c r="N103" i="1" s="1" a="1"/>
  <c r="N103" i="1" s="1"/>
  <c r="O103" i="1"/>
  <c r="P103" i="1" a="1"/>
  <c r="P103" i="1" s="1"/>
  <c r="Q103" i="1"/>
  <c r="R103" i="1" a="1"/>
  <c r="R103" i="1" s="1"/>
  <c r="S103" i="1"/>
  <c r="T103" i="1" s="1" a="1"/>
  <c r="T103" i="1" s="1"/>
  <c r="G101" i="1"/>
  <c r="H101" i="1" a="1"/>
  <c r="H101" i="1" s="1"/>
  <c r="I101" i="1"/>
  <c r="J101" i="1" a="1"/>
  <c r="J101" i="1" s="1"/>
  <c r="K101" i="1"/>
  <c r="L101" i="1" a="1"/>
  <c r="L101" i="1"/>
  <c r="M101" i="1"/>
  <c r="N101" i="1" s="1" a="1"/>
  <c r="N101" i="1" s="1"/>
  <c r="O101" i="1"/>
  <c r="P101" i="1" s="1" a="1"/>
  <c r="P101" i="1" s="1"/>
  <c r="Q101" i="1"/>
  <c r="R101" i="1" s="1" a="1"/>
  <c r="R101" i="1" s="1"/>
  <c r="S101" i="1"/>
  <c r="T101" i="1" s="1" a="1"/>
  <c r="T101" i="1" s="1"/>
  <c r="G97" i="1"/>
  <c r="H97" i="1" s="1" a="1"/>
  <c r="H97" i="1" s="1"/>
  <c r="I97" i="1"/>
  <c r="J97" i="1" s="1" a="1"/>
  <c r="J97" i="1" s="1"/>
  <c r="K97" i="1"/>
  <c r="L97" i="1" s="1" a="1"/>
  <c r="L97" i="1" s="1"/>
  <c r="M97" i="1"/>
  <c r="N97" i="1" s="1" a="1"/>
  <c r="N97" i="1" s="1"/>
  <c r="O97" i="1"/>
  <c r="P97" i="1" a="1"/>
  <c r="P97" i="1"/>
  <c r="Q97" i="1"/>
  <c r="R97" i="1" a="1"/>
  <c r="R97" i="1"/>
  <c r="S97" i="1"/>
  <c r="T97" i="1" a="1"/>
  <c r="T97" i="1" s="1"/>
  <c r="G95" i="1"/>
  <c r="H95" i="1" a="1"/>
  <c r="H95" i="1" s="1"/>
  <c r="I95" i="1"/>
  <c r="J95" i="1" a="1"/>
  <c r="J95" i="1" s="1"/>
  <c r="K95" i="1"/>
  <c r="L95" i="1" s="1" a="1"/>
  <c r="L95" i="1" s="1"/>
  <c r="M95" i="1"/>
  <c r="N95" i="1" s="1" a="1"/>
  <c r="N95" i="1" s="1"/>
  <c r="O95" i="1"/>
  <c r="P95" i="1" s="1" a="1"/>
  <c r="P95" i="1" s="1"/>
  <c r="Q95" i="1"/>
  <c r="R95" i="1" a="1"/>
  <c r="R95" i="1"/>
  <c r="S95" i="1"/>
  <c r="T95" i="1" a="1"/>
  <c r="T95" i="1"/>
  <c r="G93" i="1"/>
  <c r="H93" i="1" a="1"/>
  <c r="H93" i="1" s="1"/>
  <c r="I93" i="1"/>
  <c r="J93" i="1" a="1"/>
  <c r="J93" i="1" s="1"/>
  <c r="K93" i="1"/>
  <c r="L93" i="1" a="1"/>
  <c r="L93" i="1" s="1"/>
  <c r="M93" i="1"/>
  <c r="N93" i="1" s="1" a="1"/>
  <c r="N93" i="1" s="1"/>
  <c r="O93" i="1"/>
  <c r="P93" i="1" s="1" a="1"/>
  <c r="P93" i="1" s="1"/>
  <c r="Q93" i="1"/>
  <c r="R93" i="1" s="1" a="1"/>
  <c r="R93" i="1" s="1"/>
  <c r="S93" i="1"/>
  <c r="T93" i="1" a="1"/>
  <c r="T93" i="1"/>
  <c r="G91" i="1"/>
  <c r="H91" i="1" a="1"/>
  <c r="H91" i="1"/>
  <c r="I91" i="1"/>
  <c r="J91" i="1" a="1"/>
  <c r="J91" i="1" s="1"/>
  <c r="K91" i="1"/>
  <c r="L91" i="1" a="1"/>
  <c r="L91" i="1" s="1"/>
  <c r="M91" i="1"/>
  <c r="N91" i="1" a="1"/>
  <c r="N91" i="1" s="1"/>
  <c r="O91" i="1"/>
  <c r="P91" i="1" s="1" a="1"/>
  <c r="P91" i="1" s="1"/>
  <c r="Q91" i="1"/>
  <c r="R91" i="1" s="1" a="1"/>
  <c r="R91" i="1" s="1"/>
  <c r="S91" i="1"/>
  <c r="T91" i="1" s="1" a="1"/>
  <c r="T91" i="1" s="1"/>
  <c r="E115" i="1"/>
  <c r="F115" i="1" a="1"/>
  <c r="F11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 s="1"/>
  <c r="I86" i="1"/>
  <c r="J86" i="1" s="1" a="1"/>
  <c r="J86" i="1" s="1"/>
  <c r="K86" i="1"/>
  <c r="L86" i="1" s="1" a="1"/>
  <c r="L86" i="1" s="1"/>
  <c r="M86" i="1"/>
  <c r="N86" i="1" s="1" a="1"/>
  <c r="N86" i="1" s="1"/>
  <c r="O86" i="1"/>
  <c r="P86" i="1" a="1"/>
  <c r="P86" i="1"/>
  <c r="Q86" i="1"/>
  <c r="R86" i="1" a="1"/>
  <c r="R86" i="1"/>
  <c r="S86" i="1"/>
  <c r="T86" i="1" a="1"/>
  <c r="T86" i="1" s="1"/>
  <c r="G84" i="1"/>
  <c r="H84" i="1" a="1"/>
  <c r="H84" i="1" s="1"/>
  <c r="I84" i="1"/>
  <c r="J84" i="1" a="1"/>
  <c r="J84" i="1" s="1"/>
  <c r="K84" i="1"/>
  <c r="L84" i="1" s="1" a="1"/>
  <c r="L84" i="1" s="1"/>
  <c r="M84" i="1"/>
  <c r="N84" i="1" s="1" a="1"/>
  <c r="N84" i="1" s="1"/>
  <c r="O84" i="1"/>
  <c r="P84" i="1" s="1" a="1"/>
  <c r="P84" i="1" s="1"/>
  <c r="Q84" i="1"/>
  <c r="R84" i="1" a="1"/>
  <c r="R84" i="1"/>
  <c r="S84" i="1"/>
  <c r="T84" i="1" a="1"/>
  <c r="T84" i="1"/>
  <c r="G82" i="1"/>
  <c r="H82" i="1" a="1"/>
  <c r="H82" i="1" s="1"/>
  <c r="I82" i="1"/>
  <c r="J82" i="1" a="1"/>
  <c r="J82" i="1" s="1"/>
  <c r="K82" i="1"/>
  <c r="L82" i="1" a="1"/>
  <c r="L82" i="1" s="1"/>
  <c r="M82" i="1"/>
  <c r="N82" i="1" s="1" a="1"/>
  <c r="N82" i="1" s="1"/>
  <c r="O82" i="1"/>
  <c r="P82" i="1" s="1" a="1"/>
  <c r="P82" i="1" s="1"/>
  <c r="Q82" i="1"/>
  <c r="R82" i="1" s="1" a="1"/>
  <c r="R82" i="1" s="1"/>
  <c r="S82" i="1"/>
  <c r="T82" i="1" a="1"/>
  <c r="T82" i="1"/>
  <c r="G80" i="1"/>
  <c r="H80" i="1" a="1"/>
  <c r="H80" i="1"/>
  <c r="I80" i="1"/>
  <c r="J80" i="1" a="1"/>
  <c r="J80" i="1" s="1"/>
  <c r="K80" i="1"/>
  <c r="L80" i="1" a="1"/>
  <c r="L80" i="1" s="1"/>
  <c r="M80" i="1"/>
  <c r="N80" i="1" a="1"/>
  <c r="N80" i="1" s="1"/>
  <c r="O80" i="1"/>
  <c r="P80" i="1" s="1" a="1"/>
  <c r="P80" i="1" s="1"/>
  <c r="Q80" i="1"/>
  <c r="R80" i="1" s="1" a="1"/>
  <c r="R80" i="1" s="1"/>
  <c r="S80" i="1"/>
  <c r="T80" i="1" s="1" a="1"/>
  <c r="T80" i="1" s="1"/>
  <c r="G78" i="1"/>
  <c r="H78" i="1" a="1"/>
  <c r="H78" i="1"/>
  <c r="I78" i="1"/>
  <c r="J78" i="1" a="1"/>
  <c r="J78" i="1"/>
  <c r="K78" i="1"/>
  <c r="L78" i="1" a="1"/>
  <c r="L78" i="1" s="1"/>
  <c r="M78" i="1"/>
  <c r="N78" i="1" a="1"/>
  <c r="N78" i="1" s="1"/>
  <c r="O78" i="1"/>
  <c r="P78" i="1" a="1"/>
  <c r="P78" i="1" s="1"/>
  <c r="Q78" i="1"/>
  <c r="R78" i="1" s="1" a="1"/>
  <c r="R78" i="1" s="1"/>
  <c r="S78" i="1"/>
  <c r="T78" i="1" s="1" a="1"/>
  <c r="T78" i="1" s="1"/>
  <c r="G76" i="1"/>
  <c r="H76" i="1" s="1" a="1"/>
  <c r="H76" i="1" s="1"/>
  <c r="I76" i="1"/>
  <c r="J76" i="1" a="1"/>
  <c r="J76" i="1"/>
  <c r="K76" i="1"/>
  <c r="L76" i="1" a="1"/>
  <c r="L76" i="1"/>
  <c r="M76" i="1"/>
  <c r="N76" i="1" a="1"/>
  <c r="N76" i="1" s="1"/>
  <c r="O76" i="1"/>
  <c r="P76" i="1" a="1"/>
  <c r="P76" i="1" s="1"/>
  <c r="Q76" i="1"/>
  <c r="R76" i="1" a="1"/>
  <c r="R76" i="1" s="1"/>
  <c r="S76" i="1"/>
  <c r="T76" i="1" s="1" a="1"/>
  <c r="T76" i="1" s="1"/>
  <c r="G74" i="1"/>
  <c r="H74" i="1" s="1" a="1"/>
  <c r="H74" i="1" s="1"/>
  <c r="I74" i="1"/>
  <c r="J74" i="1" s="1" a="1"/>
  <c r="J74" i="1" s="1"/>
  <c r="K74" i="1"/>
  <c r="L74" i="1" a="1"/>
  <c r="L74" i="1"/>
  <c r="M74" i="1"/>
  <c r="N74" i="1" a="1"/>
  <c r="N74" i="1"/>
  <c r="O74" i="1"/>
  <c r="P74" i="1" a="1"/>
  <c r="P74" i="1" s="1"/>
  <c r="Q74" i="1"/>
  <c r="R74" i="1" a="1"/>
  <c r="R74" i="1" s="1"/>
  <c r="S74" i="1"/>
  <c r="T74" i="1" a="1"/>
  <c r="T74" i="1" s="1"/>
  <c r="G72" i="1"/>
  <c r="H72" i="1" s="1" a="1"/>
  <c r="H72" i="1" s="1"/>
  <c r="I72" i="1"/>
  <c r="J72" i="1" s="1" a="1"/>
  <c r="J72" i="1" s="1"/>
  <c r="K72" i="1"/>
  <c r="L72" i="1" s="1" a="1"/>
  <c r="L72" i="1" s="1"/>
  <c r="M72" i="1"/>
  <c r="N72" i="1" a="1"/>
  <c r="N72" i="1"/>
  <c r="O72" i="1"/>
  <c r="P72" i="1" a="1"/>
  <c r="P72" i="1"/>
  <c r="Q72" i="1"/>
  <c r="R72" i="1" a="1"/>
  <c r="R72" i="1" s="1"/>
  <c r="S72" i="1"/>
  <c r="T72" i="1" a="1"/>
  <c r="T72" i="1" s="1"/>
  <c r="G70" i="1"/>
  <c r="H70" i="1" a="1"/>
  <c r="H70" i="1" s="1"/>
  <c r="I70" i="1"/>
  <c r="J70" i="1" s="1" a="1"/>
  <c r="J70" i="1" s="1"/>
  <c r="K70" i="1"/>
  <c r="L70" i="1" s="1" a="1"/>
  <c r="L70" i="1" s="1"/>
  <c r="M70" i="1"/>
  <c r="N70" i="1" s="1" a="1"/>
  <c r="N70" i="1" s="1"/>
  <c r="O70" i="1"/>
  <c r="P70" i="1" a="1"/>
  <c r="P70" i="1"/>
  <c r="Q70" i="1"/>
  <c r="R70" i="1" a="1"/>
  <c r="R70" i="1"/>
  <c r="S70" i="1"/>
  <c r="T70" i="1" a="1"/>
  <c r="T70" i="1" s="1"/>
  <c r="G67" i="1"/>
  <c r="H67" i="1" a="1"/>
  <c r="H67" i="1" s="1"/>
  <c r="I67" i="1"/>
  <c r="J67" i="1" a="1"/>
  <c r="J67" i="1" s="1"/>
  <c r="K67" i="1"/>
  <c r="L67" i="1" s="1" a="1"/>
  <c r="L67" i="1" s="1"/>
  <c r="M67" i="1"/>
  <c r="N67" i="1" s="1" a="1"/>
  <c r="N67" i="1" s="1"/>
  <c r="O67" i="1"/>
  <c r="P67" i="1" s="1" a="1"/>
  <c r="P67" i="1" s="1"/>
  <c r="Q67" i="1"/>
  <c r="R67" i="1" a="1"/>
  <c r="R67" i="1"/>
  <c r="S67" i="1"/>
  <c r="T67" i="1" a="1"/>
  <c r="T67" i="1"/>
  <c r="G65" i="1"/>
  <c r="H65" i="1" a="1"/>
  <c r="H65" i="1" s="1"/>
  <c r="I65" i="1"/>
  <c r="J65" i="1" a="1"/>
  <c r="J65" i="1" s="1"/>
  <c r="K65" i="1"/>
  <c r="L65" i="1" a="1"/>
  <c r="L65" i="1" s="1"/>
  <c r="M65" i="1"/>
  <c r="N65" i="1" s="1" a="1"/>
  <c r="N65" i="1" s="1"/>
  <c r="O65" i="1"/>
  <c r="P65" i="1" s="1" a="1"/>
  <c r="P65" i="1" s="1"/>
  <c r="Q65" i="1"/>
  <c r="R65" i="1" s="1" a="1"/>
  <c r="R65" i="1" s="1"/>
  <c r="S65" i="1"/>
  <c r="T65" i="1" a="1"/>
  <c r="T65" i="1"/>
  <c r="H61" i="1" a="1"/>
  <c r="H61" i="1" s="1"/>
  <c r="I61" i="1"/>
  <c r="J61" i="1" a="1"/>
  <c r="J61" i="1" s="1"/>
  <c r="K61" i="1"/>
  <c r="L61" i="1" s="1" a="1"/>
  <c r="L61" i="1" s="1"/>
  <c r="M61" i="1"/>
  <c r="N61" i="1" s="1" a="1"/>
  <c r="N61" i="1" s="1"/>
  <c r="O61" i="1"/>
  <c r="P61" i="1" s="1" a="1"/>
  <c r="P61" i="1" s="1"/>
  <c r="Q61" i="1"/>
  <c r="R61" i="1" a="1"/>
  <c r="R61" i="1"/>
  <c r="S61" i="1"/>
  <c r="T61" i="1" a="1"/>
  <c r="T61" i="1"/>
  <c r="G59" i="1"/>
  <c r="H59" i="1" a="1"/>
  <c r="H59" i="1" s="1"/>
  <c r="I59" i="1"/>
  <c r="J59" i="1" a="1"/>
  <c r="J59" i="1" s="1"/>
  <c r="K59" i="1"/>
  <c r="L59" i="1" a="1"/>
  <c r="L59" i="1" s="1"/>
  <c r="M59" i="1"/>
  <c r="N59" i="1" s="1" a="1"/>
  <c r="N59" i="1" s="1"/>
  <c r="O59" i="1"/>
  <c r="P59" i="1" s="1" a="1"/>
  <c r="P59" i="1" s="1"/>
  <c r="Q59" i="1"/>
  <c r="R59" i="1" s="1" a="1"/>
  <c r="R59" i="1" s="1"/>
  <c r="S59" i="1"/>
  <c r="T59" i="1" a="1"/>
  <c r="T59" i="1"/>
  <c r="G57" i="1"/>
  <c r="H57" i="1" a="1"/>
  <c r="H57" i="1"/>
  <c r="I57" i="1"/>
  <c r="J57" i="1" a="1"/>
  <c r="J57" i="1" s="1"/>
  <c r="K57" i="1"/>
  <c r="L57" i="1" a="1"/>
  <c r="L57" i="1" s="1"/>
  <c r="M57" i="1"/>
  <c r="N57" i="1" a="1"/>
  <c r="N57" i="1" s="1"/>
  <c r="O57" i="1"/>
  <c r="P57" i="1" s="1" a="1"/>
  <c r="P57" i="1" s="1"/>
  <c r="Q57" i="1"/>
  <c r="R57" i="1" s="1" a="1"/>
  <c r="R57" i="1" s="1"/>
  <c r="S57" i="1"/>
  <c r="T57" i="1" s="1" a="1"/>
  <c r="T57" i="1" s="1"/>
  <c r="G55" i="1"/>
  <c r="H55" i="1" a="1"/>
  <c r="H55" i="1"/>
  <c r="I55" i="1"/>
  <c r="J55" i="1" a="1"/>
  <c r="J55" i="1"/>
  <c r="K55" i="1"/>
  <c r="L55" i="1" a="1"/>
  <c r="L55" i="1" s="1"/>
  <c r="M55" i="1"/>
  <c r="N55" i="1" a="1"/>
  <c r="N55" i="1" s="1"/>
  <c r="O55" i="1"/>
  <c r="P55" i="1" a="1"/>
  <c r="P55" i="1" s="1"/>
  <c r="Q55" i="1"/>
  <c r="R55" i="1" s="1" a="1"/>
  <c r="R55" i="1" s="1"/>
  <c r="S55" i="1"/>
  <c r="T55" i="1" s="1" a="1"/>
  <c r="T55" i="1" s="1"/>
  <c r="G53" i="1"/>
  <c r="H53" i="1" s="1" a="1"/>
  <c r="H53" i="1" s="1"/>
  <c r="I53" i="1"/>
  <c r="J53" i="1" a="1"/>
  <c r="J53" i="1"/>
  <c r="K53" i="1"/>
  <c r="L53" i="1" a="1"/>
  <c r="L53" i="1"/>
  <c r="M53" i="1"/>
  <c r="N53" i="1" a="1"/>
  <c r="N53" i="1" s="1"/>
  <c r="O53" i="1"/>
  <c r="P53" i="1" a="1"/>
  <c r="P53" i="1" s="1"/>
  <c r="Q53" i="1"/>
  <c r="R53" i="1" a="1"/>
  <c r="R53" i="1" s="1"/>
  <c r="S53" i="1"/>
  <c r="T53" i="1" s="1" a="1"/>
  <c r="T53" i="1" s="1"/>
  <c r="G51" i="1"/>
  <c r="H51" i="1" s="1" a="1"/>
  <c r="H51" i="1" s="1"/>
  <c r="I51" i="1"/>
  <c r="J51" i="1" s="1" a="1"/>
  <c r="J51" i="1" s="1"/>
  <c r="K51" i="1"/>
  <c r="L51" i="1" a="1"/>
  <c r="L51" i="1"/>
  <c r="M51" i="1"/>
  <c r="N51" i="1" a="1"/>
  <c r="N51" i="1"/>
  <c r="O51" i="1"/>
  <c r="P51" i="1" a="1"/>
  <c r="P51" i="1" s="1"/>
  <c r="Q51" i="1"/>
  <c r="R51" i="1" a="1"/>
  <c r="R51" i="1" s="1"/>
  <c r="S51" i="1"/>
  <c r="T51" i="1" a="1"/>
  <c r="T51" i="1" s="1"/>
  <c r="G49" i="1"/>
  <c r="H49" i="1" s="1" a="1"/>
  <c r="H49" i="1" s="1"/>
  <c r="I49" i="1"/>
  <c r="J49" i="1" s="1" a="1"/>
  <c r="J49" i="1" s="1"/>
  <c r="K49" i="1"/>
  <c r="L49" i="1" s="1" a="1"/>
  <c r="L49" i="1" s="1"/>
  <c r="M49" i="1"/>
  <c r="N49" i="1" a="1"/>
  <c r="N49" i="1"/>
  <c r="O49" i="1"/>
  <c r="P49" i="1" a="1"/>
  <c r="P49" i="1"/>
  <c r="Q49" i="1"/>
  <c r="R49" i="1" a="1"/>
  <c r="R49" i="1" s="1"/>
  <c r="S49" i="1"/>
  <c r="T49" i="1" a="1"/>
  <c r="T49" i="1" s="1"/>
  <c r="G46" i="1"/>
  <c r="H46" i="1" a="1"/>
  <c r="H46" i="1" s="1"/>
  <c r="I46" i="1"/>
  <c r="J46" i="1" s="1" a="1"/>
  <c r="J46" i="1" s="1"/>
  <c r="K46" i="1"/>
  <c r="L46" i="1" s="1" a="1"/>
  <c r="L46" i="1" s="1"/>
  <c r="M46" i="1"/>
  <c r="N46" i="1" s="1" a="1"/>
  <c r="N46" i="1" s="1"/>
  <c r="O46" i="1"/>
  <c r="P46" i="1" a="1"/>
  <c r="P46" i="1"/>
  <c r="Q46" i="1"/>
  <c r="R46" i="1" a="1"/>
  <c r="R46" i="1"/>
  <c r="S46" i="1"/>
  <c r="T46" i="1" a="1"/>
  <c r="T46" i="1" s="1"/>
  <c r="G44" i="1"/>
  <c r="H44" i="1" a="1"/>
  <c r="H44" i="1" s="1"/>
  <c r="I44" i="1"/>
  <c r="J44" i="1" a="1"/>
  <c r="J44" i="1" s="1"/>
  <c r="K44" i="1"/>
  <c r="L44" i="1" s="1" a="1"/>
  <c r="L44" i="1" s="1"/>
  <c r="M44" i="1"/>
  <c r="N44" i="1" s="1" a="1"/>
  <c r="N44" i="1" s="1"/>
  <c r="O44" i="1"/>
  <c r="P44" i="1" s="1" a="1"/>
  <c r="P44" i="1" s="1"/>
  <c r="Q44" i="1"/>
  <c r="R44" i="1" a="1"/>
  <c r="R44" i="1"/>
  <c r="S44" i="1"/>
  <c r="T44" i="1" a="1"/>
  <c r="T44" i="1"/>
  <c r="G42" i="1"/>
  <c r="H42" i="1" a="1"/>
  <c r="H42" i="1" s="1"/>
  <c r="I42" i="1"/>
  <c r="J42" i="1" a="1"/>
  <c r="J42" i="1" s="1"/>
  <c r="K42" i="1"/>
  <c r="L42" i="1" a="1"/>
  <c r="L42" i="1" s="1"/>
  <c r="M42" i="1"/>
  <c r="N42" i="1" s="1" a="1"/>
  <c r="N42" i="1" s="1"/>
  <c r="O42" i="1"/>
  <c r="P42" i="1" s="1" a="1"/>
  <c r="P42" i="1" s="1"/>
  <c r="Q42" i="1"/>
  <c r="R42" i="1" s="1" a="1"/>
  <c r="R42" i="1" s="1"/>
  <c r="S42" i="1"/>
  <c r="T42" i="1" a="1"/>
  <c r="T42" i="1"/>
  <c r="G38" i="1"/>
  <c r="H38" i="1" a="1"/>
  <c r="H38" i="1"/>
  <c r="I38" i="1"/>
  <c r="J38" i="1" a="1"/>
  <c r="J38" i="1" s="1"/>
  <c r="K38" i="1"/>
  <c r="L38" i="1" a="1"/>
  <c r="L38" i="1" s="1"/>
  <c r="M38" i="1"/>
  <c r="N38" i="1" a="1"/>
  <c r="N38" i="1" s="1"/>
  <c r="O38" i="1"/>
  <c r="P38" i="1" s="1" a="1"/>
  <c r="P38" i="1" s="1"/>
  <c r="Q38" i="1"/>
  <c r="R38" i="1" s="1" a="1"/>
  <c r="R38" i="1" s="1"/>
  <c r="S38" i="1"/>
  <c r="T38" i="1" s="1" a="1"/>
  <c r="T38" i="1" s="1"/>
  <c r="G36" i="1"/>
  <c r="H36" i="1" a="1"/>
  <c r="H36" i="1"/>
  <c r="I36" i="1"/>
  <c r="J36" i="1" a="1"/>
  <c r="J36" i="1"/>
  <c r="K36" i="1"/>
  <c r="L36" i="1" a="1"/>
  <c r="L36" i="1" s="1"/>
  <c r="M36" i="1"/>
  <c r="N36" i="1" a="1"/>
  <c r="N36" i="1" s="1"/>
  <c r="O36" i="1"/>
  <c r="P36" i="1" a="1"/>
  <c r="P36" i="1" s="1"/>
  <c r="Q36" i="1"/>
  <c r="R36" i="1" s="1" a="1"/>
  <c r="R36" i="1" s="1"/>
  <c r="S36" i="1"/>
  <c r="T36" i="1" s="1" a="1"/>
  <c r="T36" i="1" s="1"/>
  <c r="G34" i="1"/>
  <c r="H34" i="1" s="1" a="1"/>
  <c r="H34" i="1" s="1"/>
  <c r="I34" i="1"/>
  <c r="J34" i="1" a="1"/>
  <c r="J34" i="1"/>
  <c r="K34" i="1"/>
  <c r="L34" i="1" a="1"/>
  <c r="L34" i="1"/>
  <c r="M34" i="1"/>
  <c r="N34" i="1" a="1"/>
  <c r="N34" i="1" s="1"/>
  <c r="O34" i="1"/>
  <c r="P34" i="1" a="1"/>
  <c r="P34" i="1" s="1"/>
  <c r="Q34" i="1"/>
  <c r="R34" i="1" a="1"/>
  <c r="R34" i="1" s="1"/>
  <c r="S34" i="1"/>
  <c r="T34" i="1" s="1" a="1"/>
  <c r="T34" i="1" s="1"/>
  <c r="J32" i="1" a="1"/>
  <c r="J32" i="1" s="1"/>
  <c r="L32" i="1" a="1"/>
  <c r="L32" i="1"/>
  <c r="N32" i="1" a="1"/>
  <c r="N32" i="1"/>
  <c r="P32" i="1" a="1"/>
  <c r="P32" i="1"/>
  <c r="R32" i="1" a="1"/>
  <c r="R32" i="1" s="1"/>
  <c r="T32" i="1" a="1"/>
  <c r="T32" i="1"/>
  <c r="F32" i="1" a="1"/>
  <c r="F32" i="1"/>
  <c r="H30" i="1" a="1"/>
  <c r="H30" i="1"/>
  <c r="I30" i="1"/>
  <c r="J30" i="1" s="1" a="1"/>
  <c r="J30" i="1" s="1"/>
  <c r="K30" i="1"/>
  <c r="L30" i="1" s="1" a="1"/>
  <c r="L30" i="1" s="1"/>
  <c r="M30" i="1"/>
  <c r="N30" i="1" a="1"/>
  <c r="N30" i="1"/>
  <c r="O30" i="1"/>
  <c r="P30" i="1" a="1"/>
  <c r="P30" i="1"/>
  <c r="Q30" i="1"/>
  <c r="R30" i="1" a="1"/>
  <c r="R30" i="1" s="1"/>
  <c r="S30" i="1"/>
  <c r="T30" i="1" a="1"/>
  <c r="T30" i="1" s="1"/>
  <c r="G28" i="1"/>
  <c r="H28" i="1" a="1"/>
  <c r="H28" i="1" s="1"/>
  <c r="I28" i="1"/>
  <c r="J28" i="1" s="1" a="1"/>
  <c r="J28" i="1" s="1"/>
  <c r="K28" i="1"/>
  <c r="L28" i="1" s="1" a="1"/>
  <c r="L28" i="1" s="1"/>
  <c r="M28" i="1"/>
  <c r="N28" i="1" s="1" a="1"/>
  <c r="N28" i="1" s="1"/>
  <c r="O28" i="1"/>
  <c r="P28" i="1" a="1"/>
  <c r="P28" i="1"/>
  <c r="Q28" i="1"/>
  <c r="R28" i="1" a="1"/>
  <c r="R28" i="1"/>
  <c r="S28" i="1"/>
  <c r="T28" i="1" a="1"/>
  <c r="T28" i="1" s="1"/>
  <c r="F42" i="1" a="1"/>
  <c r="F42" i="1" s="1"/>
  <c r="F28" i="1" a="1"/>
  <c r="F28" i="1"/>
  <c r="G25" i="1"/>
  <c r="H25" i="1" a="1"/>
  <c r="H25" i="1"/>
  <c r="I25" i="1"/>
  <c r="J25" i="1" a="1"/>
  <c r="J25" i="1" s="1"/>
  <c r="K25" i="1"/>
  <c r="L25" i="1" a="1"/>
  <c r="L25" i="1" s="1"/>
  <c r="M25" i="1"/>
  <c r="N25" i="1" a="1"/>
  <c r="N25" i="1" s="1"/>
  <c r="O25" i="1"/>
  <c r="P25" i="1" s="1" a="1"/>
  <c r="P25" i="1" s="1"/>
  <c r="Q25" i="1"/>
  <c r="R25" i="1" s="1" a="1"/>
  <c r="R25" i="1" s="1"/>
  <c r="S25" i="1"/>
  <c r="T25" i="1" s="1" a="1"/>
  <c r="T25" i="1" s="1"/>
  <c r="G23" i="1"/>
  <c r="H23" i="1" a="1"/>
  <c r="H23" i="1"/>
  <c r="I23" i="1"/>
  <c r="J23" i="1" a="1"/>
  <c r="J23" i="1"/>
  <c r="K23" i="1"/>
  <c r="L23" i="1" a="1"/>
  <c r="L23" i="1" s="1"/>
  <c r="M23" i="1"/>
  <c r="N23" i="1" a="1"/>
  <c r="N23" i="1" s="1"/>
  <c r="O23" i="1"/>
  <c r="P23" i="1" a="1"/>
  <c r="P23" i="1" s="1"/>
  <c r="Q23" i="1"/>
  <c r="R23" i="1" s="1" a="1"/>
  <c r="R23" i="1" s="1"/>
  <c r="S23" i="1"/>
  <c r="T23" i="1" s="1" a="1"/>
  <c r="T23" i="1" s="1"/>
  <c r="G21" i="1"/>
  <c r="H21" i="1" s="1" a="1"/>
  <c r="H21" i="1" s="1"/>
  <c r="I21" i="1"/>
  <c r="J21" i="1" a="1"/>
  <c r="J21" i="1"/>
  <c r="K21" i="1"/>
  <c r="L21" i="1" a="1"/>
  <c r="L21" i="1"/>
  <c r="M21" i="1"/>
  <c r="N21" i="1" a="1"/>
  <c r="N21" i="1" s="1"/>
  <c r="O21" i="1"/>
  <c r="P21" i="1" a="1"/>
  <c r="P21" i="1" s="1"/>
  <c r="Q21" i="1"/>
  <c r="R21" i="1" a="1"/>
  <c r="R21" i="1" s="1"/>
  <c r="S21" i="1"/>
  <c r="T21" i="1" s="1" a="1"/>
  <c r="T21" i="1" s="1"/>
  <c r="G19" i="1"/>
  <c r="H19" i="1" s="1" a="1"/>
  <c r="H19" i="1" s="1"/>
  <c r="I19" i="1"/>
  <c r="J19" i="1" s="1" a="1"/>
  <c r="J19" i="1" s="1"/>
  <c r="K19" i="1"/>
  <c r="L19" i="1" a="1"/>
  <c r="L19" i="1"/>
  <c r="M19" i="1"/>
  <c r="N19" i="1" a="1"/>
  <c r="N19" i="1"/>
  <c r="O19" i="1"/>
  <c r="P19" i="1" a="1"/>
  <c r="P19" i="1" s="1"/>
  <c r="Q19" i="1"/>
  <c r="R19" i="1" a="1"/>
  <c r="R19" i="1" s="1"/>
  <c r="S19" i="1"/>
  <c r="T19" i="1" a="1"/>
  <c r="T19" i="1" s="1"/>
  <c r="G17" i="1"/>
  <c r="H17" i="1" s="1" a="1"/>
  <c r="H17" i="1" s="1"/>
  <c r="I17" i="1"/>
  <c r="J17" i="1" s="1" a="1"/>
  <c r="J17" i="1" s="1"/>
  <c r="K17" i="1"/>
  <c r="L17" i="1" s="1" a="1"/>
  <c r="L17" i="1" s="1"/>
  <c r="M17" i="1"/>
  <c r="N17" i="1" a="1"/>
  <c r="N17" i="1"/>
  <c r="O17" i="1"/>
  <c r="P17" i="1" a="1"/>
  <c r="P17" i="1"/>
  <c r="Q17" i="1"/>
  <c r="R17" i="1" a="1"/>
  <c r="R17" i="1" s="1"/>
  <c r="S17" i="1"/>
  <c r="T17" i="1" a="1"/>
  <c r="T17" i="1" s="1"/>
  <c r="G15" i="1"/>
  <c r="H15" i="1" a="1"/>
  <c r="H15" i="1" s="1"/>
  <c r="I15" i="1"/>
  <c r="J15" i="1" s="1" a="1"/>
  <c r="J15" i="1" s="1"/>
  <c r="K15" i="1"/>
  <c r="L15" i="1" s="1" a="1"/>
  <c r="L15" i="1" s="1"/>
  <c r="M15" i="1"/>
  <c r="N15" i="1" s="1" a="1"/>
  <c r="N15" i="1" s="1"/>
  <c r="O15" i="1"/>
  <c r="P15" i="1" a="1"/>
  <c r="P15" i="1"/>
  <c r="Q15" i="1"/>
  <c r="R15" i="1" a="1"/>
  <c r="R15" i="1"/>
  <c r="S15" i="1"/>
  <c r="T15" i="1" a="1"/>
  <c r="T15" i="1" s="1"/>
  <c r="G13" i="1"/>
  <c r="H13" i="1" a="1"/>
  <c r="H13" i="1" s="1"/>
  <c r="I13" i="1"/>
  <c r="J13" i="1" a="1"/>
  <c r="J13" i="1" s="1"/>
  <c r="K13" i="1"/>
  <c r="L13" i="1" s="1" a="1"/>
  <c r="L13" i="1" s="1"/>
  <c r="M13" i="1"/>
  <c r="N13" i="1" s="1" a="1"/>
  <c r="N13" i="1" s="1"/>
  <c r="O13" i="1"/>
  <c r="P13" i="1" s="1" a="1"/>
  <c r="P13" i="1" s="1"/>
  <c r="Q13" i="1"/>
  <c r="R13" i="1" a="1"/>
  <c r="R13" i="1"/>
  <c r="S13" i="1"/>
  <c r="T13" i="1" a="1"/>
  <c r="T13" i="1"/>
  <c r="G11" i="1"/>
  <c r="H11" i="1" a="1"/>
  <c r="H11" i="1" s="1"/>
  <c r="I11" i="1"/>
  <c r="J11" i="1" a="1"/>
  <c r="J11" i="1" s="1"/>
  <c r="K11" i="1"/>
  <c r="L11" i="1" a="1"/>
  <c r="L11" i="1" s="1"/>
  <c r="M11" i="1"/>
  <c r="N11" i="1" s="1" a="1"/>
  <c r="N11" i="1" s="1"/>
  <c r="O11" i="1"/>
  <c r="P11" i="1" s="1" a="1"/>
  <c r="P11" i="1" s="1"/>
  <c r="Q11" i="1"/>
  <c r="R11" i="1" s="1" a="1"/>
  <c r="R11" i="1" s="1"/>
  <c r="S11" i="1"/>
  <c r="T11" i="1" a="1"/>
  <c r="T11" i="1"/>
  <c r="E113" i="1"/>
  <c r="F113" i="1" a="1"/>
  <c r="F113" i="1"/>
  <c r="E111" i="1"/>
  <c r="F111" i="1" a="1"/>
  <c r="F111" i="1" s="1"/>
  <c r="E109" i="1"/>
  <c r="F109" i="1" a="1"/>
  <c r="F109" i="1" s="1"/>
  <c r="E107" i="1"/>
  <c r="F107" i="1" a="1"/>
  <c r="F107" i="1" s="1"/>
  <c r="E105" i="1"/>
  <c r="F105" i="1" s="1" a="1"/>
  <c r="F105" i="1" s="1"/>
  <c r="E103" i="1"/>
  <c r="F103" i="1" a="1"/>
  <c r="F103" i="1"/>
  <c r="E101" i="1"/>
  <c r="F101" i="1" a="1"/>
  <c r="F101" i="1"/>
  <c r="E99" i="1"/>
  <c r="F99" i="1" a="1"/>
  <c r="F99" i="1" s="1"/>
  <c r="E97" i="1"/>
  <c r="F97" i="1" a="1"/>
  <c r="F97" i="1" s="1"/>
  <c r="E95" i="1"/>
  <c r="F95" i="1" a="1"/>
  <c r="F95" i="1" s="1"/>
  <c r="E93" i="1"/>
  <c r="F93" i="1" s="1" a="1"/>
  <c r="F93" i="1" s="1"/>
  <c r="E91" i="1"/>
  <c r="F91" i="1" s="1" a="1"/>
  <c r="F91" i="1" s="1"/>
  <c r="E88" i="1"/>
  <c r="F88" i="1" s="1" a="1"/>
  <c r="F88" i="1" s="1"/>
  <c r="E86" i="1"/>
  <c r="F86" i="1" a="1"/>
  <c r="F86" i="1" s="1"/>
  <c r="E84" i="1"/>
  <c r="F84" i="1" a="1"/>
  <c r="F84" i="1" s="1"/>
  <c r="E82" i="1"/>
  <c r="F82" i="1" a="1"/>
  <c r="F82" i="1" s="1"/>
  <c r="E80" i="1"/>
  <c r="F80" i="1" s="1" a="1"/>
  <c r="F80" i="1" s="1"/>
  <c r="E78" i="1"/>
  <c r="F78" i="1" s="1" a="1"/>
  <c r="F78" i="1" s="1"/>
  <c r="E76" i="1"/>
  <c r="F76" i="1" s="1" a="1"/>
  <c r="F76" i="1" s="1"/>
  <c r="E74" i="1"/>
  <c r="F74" i="1" a="1"/>
  <c r="F74" i="1"/>
  <c r="E72" i="1"/>
  <c r="F72" i="1" a="1"/>
  <c r="F72" i="1"/>
  <c r="E70" i="1"/>
  <c r="F70" i="1" a="1"/>
  <c r="F70" i="1" s="1"/>
  <c r="E67" i="1"/>
  <c r="F67" i="1" a="1"/>
  <c r="F67" i="1" s="1"/>
  <c r="E65" i="1"/>
  <c r="F65" i="1" a="1"/>
  <c r="F65" i="1" s="1"/>
  <c r="E59" i="1"/>
  <c r="F59" i="1" s="1" a="1"/>
  <c r="F59" i="1" s="1"/>
  <c r="E57" i="1"/>
  <c r="F57" i="1" s="1" a="1"/>
  <c r="F57" i="1" s="1"/>
  <c r="E55" i="1"/>
  <c r="F55" i="1" s="1" a="1"/>
  <c r="F55" i="1" s="1"/>
  <c r="E53" i="1"/>
  <c r="F53" i="1" a="1"/>
  <c r="F53" i="1"/>
  <c r="E51" i="1"/>
  <c r="F51" i="1" a="1"/>
  <c r="F51" i="1"/>
  <c r="E49" i="1"/>
  <c r="F49" i="1" a="1"/>
  <c r="F49" i="1" s="1"/>
  <c r="E46" i="1"/>
  <c r="F46" i="1" s="1" a="1"/>
  <c r="F46" i="1" s="1"/>
  <c r="E44" i="1"/>
  <c r="F44" i="1" s="1" a="1"/>
  <c r="F44" i="1" s="1"/>
  <c r="E42" i="1"/>
  <c r="E38" i="1"/>
  <c r="F38" i="1" a="1"/>
  <c r="F38" i="1" s="1"/>
  <c r="E36" i="1"/>
  <c r="F36" i="1" s="1" a="1"/>
  <c r="F36" i="1" s="1"/>
  <c r="E34" i="1"/>
  <c r="F34" i="1" s="1" a="1"/>
  <c r="F34" i="1" s="1"/>
  <c r="E28" i="1"/>
  <c r="E25" i="1"/>
  <c r="F25" i="1" a="1"/>
  <c r="F25" i="1" s="1"/>
  <c r="E23" i="1"/>
  <c r="F23" i="1" s="1" a="1"/>
  <c r="F23" i="1" s="1"/>
  <c r="E21" i="1"/>
  <c r="F21" i="1" s="1" a="1"/>
  <c r="F21" i="1" s="1"/>
  <c r="E19" i="1"/>
  <c r="F19" i="1" s="1" a="1"/>
  <c r="F19" i="1" s="1"/>
  <c r="E17" i="1"/>
  <c r="F17" i="1" a="1"/>
  <c r="F17" i="1"/>
  <c r="E15" i="1"/>
  <c r="F15" i="1" a="1"/>
  <c r="F15" i="1"/>
  <c r="E13" i="1"/>
  <c r="F13" i="1" a="1"/>
  <c r="F13" i="1" s="1"/>
  <c r="E11" i="1"/>
  <c r="F11" i="1" a="1"/>
  <c r="F11" i="1" s="1"/>
  <c r="G9" i="1"/>
  <c r="H9" i="1" a="1"/>
  <c r="H9" i="1" s="1"/>
  <c r="I9" i="1"/>
  <c r="J9" i="1" s="1" a="1"/>
  <c r="J9" i="1" s="1"/>
  <c r="K9" i="1"/>
  <c r="L9" i="1" s="1" a="1"/>
  <c r="L9" i="1" s="1"/>
  <c r="M9" i="1"/>
  <c r="N9" i="1" s="1" a="1"/>
  <c r="N9" i="1" s="1"/>
  <c r="O9" i="1"/>
  <c r="P9" i="1" a="1"/>
  <c r="P9" i="1"/>
  <c r="Q9" i="1"/>
  <c r="R9" i="1" a="1"/>
  <c r="R9" i="1"/>
  <c r="S9" i="1"/>
  <c r="T9" i="1" a="1"/>
  <c r="T9" i="1" s="1"/>
  <c r="E9" i="1"/>
  <c r="F9" i="1" a="1"/>
  <c r="F9" i="1" s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O7" i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 s="1"/>
  <c r="M99" i="1"/>
  <c r="N99" i="1" a="1"/>
  <c r="N99" i="1" s="1"/>
  <c r="K99" i="1"/>
  <c r="L99" i="1" a="1"/>
  <c r="L99" i="1" s="1"/>
  <c r="I99" i="1"/>
  <c r="J99" i="1" s="1" a="1"/>
  <c r="J99" i="1" s="1"/>
  <c r="G99" i="1"/>
  <c r="H99" i="1" s="1" a="1"/>
  <c r="H99" i="1" s="1"/>
  <c r="X7" i="1"/>
  <c r="X6" i="1"/>
  <c r="X5" i="1"/>
  <c r="X4" i="1"/>
  <c r="G26" i="2"/>
  <c r="G47" i="2"/>
  <c r="G68" i="2" s="1"/>
  <c r="G89" i="2" s="1"/>
  <c r="G116" i="2" s="1"/>
  <c r="AF5" i="2" s="1"/>
  <c r="I26" i="2"/>
  <c r="I47" i="2"/>
  <c r="K26" i="2"/>
  <c r="K47" i="2" s="1"/>
  <c r="K68" i="2" s="1"/>
  <c r="K89" i="2" s="1"/>
  <c r="K116" i="2" s="1"/>
  <c r="AF7" i="2" s="1"/>
  <c r="M26" i="2"/>
  <c r="M47" i="2"/>
  <c r="M68" i="2" s="1"/>
  <c r="M89" i="2" s="1"/>
  <c r="M116" i="2" s="1"/>
  <c r="AF8" i="2" s="1"/>
  <c r="O26" i="2"/>
  <c r="O47" i="2"/>
  <c r="Q26" i="2"/>
  <c r="Q47" i="2" s="1"/>
  <c r="Q68" i="2" s="1"/>
  <c r="Q89" i="2" s="1"/>
  <c r="Q116" i="2" s="1"/>
  <c r="AF10" i="2" s="1"/>
  <c r="O68" i="2"/>
  <c r="O89" i="2" s="1"/>
  <c r="O116" i="2" s="1"/>
  <c r="AF9" i="2" s="1"/>
  <c r="I68" i="2"/>
  <c r="I89" i="2" s="1"/>
  <c r="I116" i="2" s="1"/>
  <c r="AF6" i="2" s="1"/>
  <c r="U6" i="5" l="1"/>
  <c r="W6" i="5"/>
  <c r="X6" i="5"/>
  <c r="S6" i="5"/>
  <c r="G26" i="6"/>
  <c r="G47" i="6" s="1"/>
  <c r="G68" i="6" s="1"/>
  <c r="G89" i="6" s="1"/>
  <c r="G116" i="6" s="1"/>
  <c r="G117" i="6" s="1"/>
  <c r="T5" i="6" s="1"/>
  <c r="H7" i="6" a="1"/>
  <c r="H7" i="6" s="1"/>
  <c r="R5" i="6" s="1"/>
  <c r="V7" i="5"/>
  <c r="X7" i="5"/>
  <c r="Y7" i="5"/>
  <c r="T7" i="5"/>
  <c r="E26" i="5"/>
  <c r="E47" i="5" s="1"/>
  <c r="E68" i="5" s="1"/>
  <c r="E89" i="5" s="1"/>
  <c r="E116" i="5" s="1"/>
  <c r="Z4" i="5" s="1"/>
  <c r="Y6" i="5"/>
  <c r="V6" i="5"/>
  <c r="P5" i="7"/>
  <c r="M5" i="7"/>
  <c r="W8" i="5"/>
  <c r="X8" i="5"/>
  <c r="Y8" i="5"/>
  <c r="U8" i="5"/>
  <c r="S8" i="5"/>
  <c r="E26" i="2"/>
  <c r="E47" i="2" s="1"/>
  <c r="E68" i="2" s="1"/>
  <c r="E89" i="2" s="1"/>
  <c r="E116" i="2" s="1"/>
  <c r="AF4" i="2" s="1"/>
  <c r="Y4" i="5"/>
  <c r="U7" i="5"/>
  <c r="S7" i="5"/>
  <c r="U4" i="5"/>
  <c r="V4" i="5"/>
  <c r="X4" i="5"/>
  <c r="W7" i="5"/>
  <c r="S4" i="5"/>
  <c r="I68" i="5"/>
  <c r="I89" i="5" s="1"/>
  <c r="I116" i="5" s="1"/>
  <c r="Z6" i="5" s="1"/>
  <c r="P4" i="7"/>
  <c r="N4" i="7"/>
  <c r="T8" i="5"/>
  <c r="O26" i="1"/>
  <c r="O47" i="1" s="1"/>
  <c r="O68" i="1" s="1"/>
  <c r="M26" i="1"/>
  <c r="M47" i="1" s="1"/>
  <c r="M68" i="1" s="1"/>
  <c r="O5" i="7"/>
  <c r="V8" i="5"/>
  <c r="M68" i="4"/>
  <c r="M89" i="4" s="1"/>
  <c r="M116" i="4" s="1"/>
  <c r="AC8" i="4" s="1"/>
  <c r="E26" i="4"/>
  <c r="O26" i="4"/>
  <c r="O47" i="4" s="1"/>
  <c r="O68" i="4" s="1"/>
  <c r="O89" i="4" s="1"/>
  <c r="O116" i="4" s="1"/>
  <c r="AC9" i="4" s="1"/>
  <c r="G26" i="4"/>
  <c r="G47" i="4" s="1"/>
  <c r="G68" i="4" s="1"/>
  <c r="G89" i="4" s="1"/>
  <c r="G116" i="4" s="1"/>
  <c r="AC5" i="4" s="1"/>
  <c r="Z5" i="4"/>
  <c r="U5" i="4"/>
  <c r="E47" i="4"/>
  <c r="E68" i="4" s="1"/>
  <c r="E89" i="4" s="1"/>
  <c r="E116" i="4" s="1"/>
  <c r="AC4" i="4" s="1"/>
  <c r="I47" i="4"/>
  <c r="I68" i="4" s="1"/>
  <c r="I89" i="4" s="1"/>
  <c r="I116" i="4" s="1"/>
  <c r="AC6" i="4" s="1"/>
  <c r="V7" i="4"/>
  <c r="W7" i="4"/>
  <c r="AA7" i="4"/>
  <c r="AB7" i="4"/>
  <c r="Y7" i="4"/>
  <c r="N7" i="4" a="1"/>
  <c r="N7" i="4" s="1"/>
  <c r="AB8" i="4" s="1"/>
  <c r="W8" i="4"/>
  <c r="Y6" i="4"/>
  <c r="Z6" i="4"/>
  <c r="W6" i="4"/>
  <c r="AB6" i="4"/>
  <c r="X6" i="4"/>
  <c r="AA6" i="4"/>
  <c r="U6" i="4"/>
  <c r="V6" i="4"/>
  <c r="AA5" i="4"/>
  <c r="X5" i="4"/>
  <c r="Z7" i="4"/>
  <c r="W5" i="4"/>
  <c r="U7" i="4"/>
  <c r="X7" i="4"/>
  <c r="V5" i="4"/>
  <c r="AB5" i="4"/>
  <c r="F7" i="4" a="1"/>
  <c r="F7" i="4" s="1"/>
  <c r="P7" i="4" a="1"/>
  <c r="P7" i="4" s="1"/>
  <c r="Y5" i="4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S68" i="1" s="1"/>
  <c r="S89" i="1" s="1"/>
  <c r="S116" i="1" s="1"/>
  <c r="AI11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U8" i="4" l="1"/>
  <c r="AA8" i="4"/>
  <c r="Y8" i="4"/>
  <c r="Z8" i="4"/>
  <c r="X8" i="4"/>
  <c r="V8" i="4"/>
  <c r="W9" i="4"/>
  <c r="Z9" i="4"/>
  <c r="X9" i="4"/>
  <c r="AA9" i="4"/>
  <c r="AB9" i="4"/>
  <c r="V9" i="4"/>
  <c r="Y9" i="4"/>
  <c r="U9" i="4"/>
  <c r="AA4" i="4"/>
  <c r="AB4" i="4"/>
  <c r="U4" i="4"/>
  <c r="Y4" i="4"/>
  <c r="V4" i="4"/>
  <c r="W4" i="4"/>
  <c r="X4" i="4"/>
  <c r="Z4" i="4"/>
  <c r="W8" i="3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<sst xmlns="http://schemas.openxmlformats.org/spreadsheetml/2006/main" count="1353" uniqueCount="106">
  <si>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</si>
  <si>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</si>
  <si>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</si>
  <si>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</si>
  <si>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</si>
  <si>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</si>
  <si>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</si>
  <si>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</si>
  <si>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</si>
  <si>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</si>
  <si>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</si>
  <si>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</si>
  <si>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</si>
  <si>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</si>
  <si>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</si>
  <si>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</si>
  <si>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</si>
  <si>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</si>
  <si>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</si>
  <si>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</si>
  <si>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</si>
  <si>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</si>
  <si>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</si>
  <si>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</si>
  <si>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</si>
  <si>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</si>
  <si>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</si>
  <si>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</si>
  <si>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</si>
  <si>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</si>
  <si>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</si>
  <si>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</si>
  <si>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</si>
  <si>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</si>
  <si>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</si>
  <si>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</si>
  <si>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</si>
  <si>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</si>
  <si>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</si>
  <si>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</si>
  <si>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</si>
  <si>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</si>
  <si>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</si>
  <si>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</si>
  <si>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</si>
  <si>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</si>
  <si>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</si>
  <si>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</si>
  <si>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</si>
  <si>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</si>
  <si>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</si>
  <si>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</si>
  <si>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</si>
  <si>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</si>
  <si>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</si>
  <si>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</si>
  <si>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</si>
  <si>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</si>
  <si>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</si>
  <si>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</si>
  <si>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</si>
  <si>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</si>
  <si>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</si>
  <si>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</si>
  <si>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</si>
  <si>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</si>
  <si>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</si>
  <si>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</si>
  <si>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</si>
  <si>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</si>
  <si>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</si>
  <si>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</si>
  <si>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</si>
  <si>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</si>
  <si>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</si>
  <si>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</si>
  <si>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</si>
  <si>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</si>
  <si>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</si>
  <si>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</si>
  <si>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</si>
  <si>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Cotswold Gala - Results Calculator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</si>
  <si>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</si>
  <si>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</si>
  <si>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</si>
  <si>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</si>
  <si>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</si>
  <si>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</si>
  <si>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</si>
  <si>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</si>
  <si>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</si>
  <si>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</si>
  <si>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</si>
  <si>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</si>
  <si>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</si>
  <si>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</si>
  <si>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</si>
  <si>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</si>
  <si>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</si>
  <si>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</si>
  <si>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</si>
  <si>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Forest of Dean</t>
  </si>
  <si>
    <t>Bath Dolphins</t>
  </si>
  <si>
    <t>Southwold</t>
  </si>
  <si>
    <t>Swindon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</si>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</sst>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9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145143</xdr:rowOff>
    </xdr:from>
    <xdr:to>
      <xdr:col>26</xdr:col>
      <xdr:colOff>112484</xdr:colOff>
      <xdr:row>38</xdr:row>
      <xdr:rowOff>108857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6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562428</xdr:colOff>
      <xdr:row>39</xdr:row>
      <xdr:rowOff>145142</xdr:rowOff>
    </xdr:from>
    <xdr:to>
      <xdr:col>19</xdr:col>
      <xdr:colOff>190499</xdr:colOff>
      <xdr:row>41</xdr:row>
      <xdr:rowOff>125185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824857" y="7275285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628649</xdr:colOff>
      <xdr:row>39</xdr:row>
      <xdr:rowOff>151492</xdr:rowOff>
    </xdr:from>
    <xdr:to>
      <xdr:col>21</xdr:col>
      <xdr:colOff>256721</xdr:colOff>
      <xdr:row>41</xdr:row>
      <xdr:rowOff>131535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469506" y="7281635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539751</xdr:colOff>
      <xdr:row>37</xdr:row>
      <xdr:rowOff>8162</xdr:rowOff>
    </xdr:from>
    <xdr:to>
      <xdr:col>22</xdr:col>
      <xdr:colOff>322037</xdr:colOff>
      <xdr:row>38</xdr:row>
      <xdr:rowOff>169634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587108" y="677544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7258</xdr:colOff>
      <xdr:row>37</xdr:row>
      <xdr:rowOff>14512</xdr:rowOff>
    </xdr:from>
    <xdr:to>
      <xdr:col>24</xdr:col>
      <xdr:colOff>460829</xdr:colOff>
      <xdr:row>38</xdr:row>
      <xdr:rowOff>175984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31758" y="678179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17</xdr:col>
      <xdr:colOff>95250</xdr:colOff>
      <xdr:row>9</xdr:row>
      <xdr:rowOff>53522</xdr:rowOff>
    </xdr:from>
    <xdr:to>
      <xdr:col>29</xdr:col>
      <xdr:colOff>144236</xdr:colOff>
      <xdr:row>36</xdr:row>
      <xdr:rowOff>17236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C4D8A-AA41-4BEB-B322-0574D3156CA1}"/>
            </a:ext>
          </a:extLst>
        </xdr:cNvPr>
        <xdr:cNvSpPr/>
      </xdr:nvSpPr>
      <xdr:spPr>
        <a:xfrm>
          <a:off x="13230679" y="1740808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431265</xdr:colOff>
      <xdr:row>38</xdr:row>
      <xdr:rowOff>152427</xdr:rowOff>
    </xdr:from>
    <xdr:to>
      <xdr:col>27</xdr:col>
      <xdr:colOff>117929</xdr:colOff>
      <xdr:row>40</xdr:row>
      <xdr:rowOff>120573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19991347" y="732480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27</xdr:col>
      <xdr:colOff>556079</xdr:colOff>
      <xdr:row>38</xdr:row>
      <xdr:rowOff>158777</xdr:rowOff>
    </xdr:from>
    <xdr:to>
      <xdr:col>29</xdr:col>
      <xdr:colOff>180284</xdr:colOff>
      <xdr:row>40</xdr:row>
      <xdr:rowOff>126923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1635997" y="733115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22</xdr:col>
      <xdr:colOff>426803</xdr:colOff>
      <xdr:row>11</xdr:row>
      <xdr:rowOff>176967</xdr:rowOff>
    </xdr:from>
    <xdr:to>
      <xdr:col>33</xdr:col>
      <xdr:colOff>209743</xdr:colOff>
      <xdr:row>37</xdr:row>
      <xdr:rowOff>167449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F7FED-B272-43CF-B4FC-301E9C1B2761}"/>
            </a:ext>
          </a:extLst>
        </xdr:cNvPr>
        <xdr:cNvSpPr/>
      </xdr:nvSpPr>
      <xdr:spPr>
        <a:xfrm>
          <a:off x="16634918" y="2290164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089843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8" width="10.08984375" customWidth="1"/>
    <col min="9" max="10" width="3.453125" customWidth="1"/>
    <col min="11" max="11" width="14.36328125" customWidth="1"/>
    <col min="12" max="12" width="24" customWidth="1"/>
    <col min="13" max="13" width="9.54296875" bestFit="1" customWidth="1"/>
    <col min="14" max="14" width="10.453125" bestFit="1" customWidth="1"/>
    <col min="15" max="15" width="7.54296875" customWidth="1"/>
    <col min="18" max="18" width="11.08984375" customWidth="1"/>
  </cols>
  <sheetData>
    <row r="1" spans="1:18" ht="18.5" x14ac:dyDescent="0.45">
      <c r="A1" s="34" t="s">
        <v>0</v>
      </c>
      <c r="B1" s="34"/>
      <c r="C1" s="34"/>
      <c r="D1" s="34"/>
      <c r="E1" s="34"/>
      <c r="F1" s="34"/>
      <c r="G1" s="34"/>
      <c r="H1" s="34"/>
    </row>
    <row r="2" spans="1:18" x14ac:dyDescent="0.35">
      <c r="K2" s="31" t="s">
        <v>1</v>
      </c>
      <c r="L2" s="35"/>
      <c r="M2" s="35"/>
      <c r="N2" s="35"/>
      <c r="O2" s="35"/>
      <c r="P2" s="32"/>
      <c r="Q2" s="18"/>
      <c r="R2" s="18"/>
    </row>
    <row r="3" spans="1:18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7"/>
      <c r="B4" s="37"/>
      <c r="C4" s="37"/>
      <c r="D4" s="37"/>
      <c r="E4" s="38" t="s">
        <v>9</v>
      </c>
      <c r="F4" s="39"/>
      <c r="G4" s="38" t="s">
        <v>9</v>
      </c>
      <c r="H4" s="39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30"/>
      <c r="H31" s="30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38" priority="1" operator="containsText" text="02.">
      <formula>NOT(ISERROR(SEARCH("02.",E6)))</formula>
    </cfRule>
    <cfRule type="containsText" dxfId="37" priority="2" operator="containsText" text="01.">
      <formula>NOT(ISERROR(SEARCH("01.",E6)))</formula>
    </cfRule>
    <cfRule type="containsText" dxfId="36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0" width="10.08984375" customWidth="1"/>
    <col min="11" max="12" width="3.453125" customWidth="1"/>
    <col min="13" max="13" width="14.36328125" customWidth="1"/>
    <col min="14" max="14" width="24" customWidth="1"/>
    <col min="15" max="15" width="9.54296875" bestFit="1" customWidth="1"/>
    <col min="16" max="16" width="10.453125" bestFit="1" customWidth="1"/>
    <col min="17" max="17" width="9.90625" bestFit="1" customWidth="1"/>
    <col min="18" max="20" width="11.36328125" bestFit="1" customWidth="1"/>
    <col min="21" max="21" width="11.08984375" customWidth="1"/>
  </cols>
  <sheetData>
    <row r="1" spans="1:20" ht="18.5" x14ac:dyDescent="0.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20" x14ac:dyDescent="0.35">
      <c r="M2" s="31" t="s">
        <v>1</v>
      </c>
      <c r="N2" s="35"/>
      <c r="O2" s="35"/>
      <c r="P2" s="35"/>
      <c r="Q2" s="35"/>
      <c r="R2" s="35"/>
      <c r="S2" s="32"/>
      <c r="T2" s="18"/>
    </row>
    <row r="3" spans="1:20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7"/>
      <c r="B4" s="37"/>
      <c r="C4" s="37"/>
      <c r="D4" s="37"/>
      <c r="E4" s="38" t="s">
        <v>9</v>
      </c>
      <c r="F4" s="39"/>
      <c r="G4" s="38" t="s">
        <v>9</v>
      </c>
      <c r="H4" s="39"/>
      <c r="I4" s="38" t="s">
        <v>9</v>
      </c>
      <c r="J4" s="39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29"/>
      <c r="G29" s="28"/>
      <c r="H29" s="29"/>
      <c r="I29" s="28"/>
      <c r="J29" s="29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8"/>
      <c r="F31" s="29"/>
      <c r="G31" s="28"/>
      <c r="H31" s="29"/>
      <c r="I31" s="28"/>
      <c r="J31" s="29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35" priority="1" operator="containsText" text="02.">
      <formula>NOT(ISERROR(SEARCH("02.",E6)))</formula>
    </cfRule>
    <cfRule type="containsText" dxfId="34" priority="2" operator="containsText" text="01.">
      <formula>NOT(ISERROR(SEARCH("01.",E6)))</formula>
    </cfRule>
    <cfRule type="containsText" dxfId="3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topLeftCell="K1" zoomScale="130" zoomScaleNormal="70" workbookViewId="0">
      <pane ySplit="5" topLeftCell="A6" activePane="bottomLeft" state="frozen"/>
      <selection pane="bottomLeft" activeCell="M114" sqref="M114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2" width="10.08984375" customWidth="1"/>
    <col min="13" max="13" width="5.81640625" bestFit="1" customWidth="1"/>
    <col min="14" max="14" width="3.453125" customWidth="1"/>
    <col min="15" max="15" width="6.6328125" bestFit="1" customWidth="1"/>
    <col min="16" max="16" width="16.36328125" bestFit="1" customWidth="1"/>
    <col min="17" max="17" width="15.90625" bestFit="1" customWidth="1"/>
    <col min="18" max="21" width="11.36328125" bestFit="1" customWidth="1"/>
    <col min="24" max="24" width="11.36328125" customWidth="1"/>
  </cols>
  <sheetData>
    <row r="1" spans="1:25" ht="18.5" x14ac:dyDescent="0.45">
      <c r="A1" s="34" t="s">
        <v>81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25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K3" s="33" t="s">
        <v>82</v>
      </c>
      <c r="L3" s="33"/>
    </row>
    <row r="4" spans="1:25" x14ac:dyDescent="0.35">
      <c r="A4" s="37"/>
      <c r="B4" s="37"/>
      <c r="C4" s="37"/>
      <c r="D4" s="37"/>
      <c r="E4" s="31" t="s">
        <v>101</v>
      </c>
      <c r="F4" s="32"/>
      <c r="G4" s="31" t="s">
        <v>102</v>
      </c>
      <c r="H4" s="32"/>
      <c r="I4" s="31" t="s">
        <v>103</v>
      </c>
      <c r="J4" s="32"/>
      <c r="K4" s="33" t="s">
        <v>104</v>
      </c>
      <c r="L4" s="33"/>
    </row>
    <row r="5" spans="1:25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3" t="s">
        <v>14</v>
      </c>
      <c r="L5" s="33"/>
    </row>
    <row r="6" spans="1:25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>
        <v>9.4328703703703708E-4</v>
      </c>
      <c r="F6" s="30"/>
      <c r="G6" s="30">
        <v>9.4224537037037031E-4</v>
      </c>
      <c r="H6" s="30"/>
      <c r="I6" s="30">
        <v>9.1597222222222221E-4</v>
      </c>
      <c r="J6" s="30"/>
      <c r="K6" s="30">
        <v>8.9016203703703696E-4</v>
      </c>
      <c r="L6" s="30"/>
      <c r="P6" s="31" t="s">
        <v>83</v>
      </c>
      <c r="Q6" s="35"/>
      <c r="R6" s="35"/>
      <c r="S6" s="35"/>
      <c r="T6" s="35"/>
      <c r="U6" s="35"/>
      <c r="V6" s="35"/>
      <c r="W6" s="32"/>
      <c r="X6" s="18"/>
      <c r="Y6" s="18"/>
    </row>
    <row r="7" spans="1:25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2</v>
      </c>
      <c r="F7" s="14" cm="1">
        <f t="array" ref="F7">_xlfn.IFS(E7=4,1,E7=3,2,E7=2,3,E7=1,4,E6&lt;$D$6,"Too Fast",E6="DQ","DQ")</f>
        <v>3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0</v>
      </c>
      <c r="L7" s="14" t="str" cm="1">
        <f t="array" ref="L7">_xlfn.IFS(K7=4,1,K7=3,2,K7=2,3,K7=1,4,K6&lt;$D$6,"Too Fast",K6="DQ","DQ")</f>
        <v>Too Fast</v>
      </c>
      <c r="M7" s="27" t="b">
        <v>0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84</v>
      </c>
      <c r="V7" s="17" t="s">
        <v>6</v>
      </c>
      <c r="W7" s="17" t="s">
        <v>7</v>
      </c>
      <c r="X7" s="26" t="s">
        <v>8</v>
      </c>
      <c r="Y7" s="17"/>
    </row>
    <row r="8" spans="1:25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0">
        <v>9.5451388888888886E-4</v>
      </c>
      <c r="F8" s="30"/>
      <c r="G8" s="30">
        <v>8.7488425925925928E-4</v>
      </c>
      <c r="H8" s="30"/>
      <c r="I8" s="30">
        <v>8.7175925925925919E-4</v>
      </c>
      <c r="J8" s="30"/>
      <c r="K8" s="30">
        <v>8.6550925925925923E-4</v>
      </c>
      <c r="L8" s="30"/>
      <c r="P8" s="17" t="str">
        <f>E3</f>
        <v>Lane 1</v>
      </c>
      <c r="Q8" s="17" t="str">
        <f>E4</f>
        <v>Forest of Dean</v>
      </c>
      <c r="R8" s="20">
        <f>COUNTIF($F7:$F115,1)</f>
        <v>3</v>
      </c>
      <c r="S8" s="20">
        <f>COUNTIF($F7:$F115,2)</f>
        <v>8</v>
      </c>
      <c r="T8" s="20">
        <f>COUNTIF($F7:$F115,3)</f>
        <v>12</v>
      </c>
      <c r="U8" s="20">
        <f>COUNTIF($F7:$F115,4)</f>
        <v>30</v>
      </c>
      <c r="V8" s="20">
        <f>COUNTIF($F7:$F115,"DQ")</f>
        <v>0</v>
      </c>
      <c r="W8" s="20">
        <f>COUNTIF($F7:$F115,"Too Fast")</f>
        <v>0</v>
      </c>
      <c r="X8" s="2">
        <f>E116</f>
        <v>90</v>
      </c>
      <c r="Y8" s="18"/>
    </row>
    <row r="9" spans="1:25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1</v>
      </c>
      <c r="F9" s="14" cm="1">
        <f t="array" ref="F9">_xlfn.IFS(E9=4,1,E9=3,2,E9=2,3,E9=1,4,E8&lt;$D$8,"Too Fast",E8="DQ","DQ")</f>
        <v>4</v>
      </c>
      <c r="G9" s="11">
        <f t="shared" ref="G9" si="3">IF(G8="DQ",0,IF(G8&lt;$D$8,0,1+COUNTIFS($E$8:$K$8,"DQ")+COUNTIFS($E$8:$K$8,"&lt;"&amp;$D$8)+COUNTIF($E$8:$K$8,"&gt;"&amp;G$8)))</f>
        <v>2</v>
      </c>
      <c r="H9" s="14" cm="1">
        <f t="array" ref="H9">_xlfn.IFS(G9=4,1,G9=3,2,G9=2,3,G9=1,4,G8&lt;$D$8,"Too Fast",G8="DQ","DQ")</f>
        <v>3</v>
      </c>
      <c r="I9" s="11">
        <f t="shared" ref="I9" si="4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 t="shared" ref="K9" si="5">IF(K8="DQ",0,IF(K8&lt;$D$8,0,1+COUNTIFS($E$8:$K$8,"DQ")+COUNTIFS($E$8:$K$8,"&lt;"&amp;$D$8)+COUNTIF($E$8:$K$8,"&gt;"&amp;K$8)))</f>
        <v>4</v>
      </c>
      <c r="L9" s="14" cm="1">
        <f t="array" ref="L9">_xlfn.IFS(K9=4,1,K9=3,2,K9=2,3,K9=1,4,K8&lt;$D$8,"Too Fast",K8="DQ","DQ")</f>
        <v>1</v>
      </c>
      <c r="M9" s="27" t="b">
        <v>0</v>
      </c>
      <c r="P9" s="17" t="str">
        <f>G3</f>
        <v>Lane 2</v>
      </c>
      <c r="Q9" s="17" t="str">
        <f>G4</f>
        <v>Bath Dolphins</v>
      </c>
      <c r="R9" s="20">
        <f>COUNTIF($H7:$H115,1)</f>
        <v>21</v>
      </c>
      <c r="S9" s="20">
        <f>COUNTIF($H7:$H115,2)</f>
        <v>15</v>
      </c>
      <c r="T9" s="20">
        <f>COUNTIF($H7:$H115,3)</f>
        <v>15</v>
      </c>
      <c r="U9" s="20">
        <f>COUNTIF($H7:$H115,4)</f>
        <v>2</v>
      </c>
      <c r="V9" s="20">
        <f>COUNTIF($H7:$H115,"DQ")</f>
        <v>0</v>
      </c>
      <c r="W9" s="20">
        <f>COUNTIF($H7:$H115,"Too Fast")</f>
        <v>0</v>
      </c>
      <c r="X9" s="2">
        <f>G116</f>
        <v>161</v>
      </c>
      <c r="Y9" s="18"/>
    </row>
    <row r="10" spans="1:25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0">
        <v>8.879629629629629E-4</v>
      </c>
      <c r="F10" s="30"/>
      <c r="G10" s="30">
        <v>9.4548611111111114E-4</v>
      </c>
      <c r="H10" s="30"/>
      <c r="I10" s="30">
        <v>8.9004629629629633E-4</v>
      </c>
      <c r="J10" s="30"/>
      <c r="K10" s="30">
        <v>1.0134259259259259E-3</v>
      </c>
      <c r="L10" s="30"/>
      <c r="P10" s="17" t="str">
        <f>I3</f>
        <v>Lane 3</v>
      </c>
      <c r="Q10" s="17" t="str">
        <f>I4</f>
        <v>Southwold</v>
      </c>
      <c r="R10" s="20">
        <f>COUNTIF($J7:$J115,1)</f>
        <v>18</v>
      </c>
      <c r="S10" s="20">
        <f>COUNTIF($J7:$J115,2)</f>
        <v>15</v>
      </c>
      <c r="T10" s="20">
        <f>COUNTIF($J7:$J115,3)</f>
        <v>10</v>
      </c>
      <c r="U10" s="20">
        <f>COUNTIF($J7:$J115,4)</f>
        <v>8</v>
      </c>
      <c r="V10" s="20">
        <f>COUNTIF($J7:$J115,"DQ")</f>
        <v>1</v>
      </c>
      <c r="W10" s="20">
        <f>COUNTIF($J7:$J115,"Too Fast")</f>
        <v>1</v>
      </c>
      <c r="X10" s="2">
        <f>I116</f>
        <v>145</v>
      </c>
      <c r="Y10" s="18"/>
    </row>
    <row r="11" spans="1:25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4</v>
      </c>
      <c r="F11" s="14" cm="1">
        <f t="array" ref="F11">_xlfn.IFS(E11=4,1,E11=3,2,E11=2,3,E11=1,4,E10&lt;$D$10,"Too Fast",E10="DQ","DQ")</f>
        <v>1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14" cm="1">
        <f t="array" ref="L11">_xlfn.IFS(K11=4,1,K11=3,2,K11=2,3,K11=1,4,K10&lt;$D$10,"Too Fast",K10="DQ","DQ")</f>
        <v>4</v>
      </c>
      <c r="M11" s="27" t="b">
        <v>0</v>
      </c>
      <c r="P11" s="17" t="str">
        <f>K3</f>
        <v>Lane 4</v>
      </c>
      <c r="Q11" s="17" t="str">
        <f>K4</f>
        <v>Swindon</v>
      </c>
      <c r="R11" s="20">
        <f>COUNTIF($L7:$L115,1)</f>
        <v>11</v>
      </c>
      <c r="S11" s="20">
        <f>COUNTIF($L7:$L115,2)</f>
        <v>15</v>
      </c>
      <c r="T11" s="20">
        <f>COUNTIF($L7:$L115,3)</f>
        <v>16</v>
      </c>
      <c r="U11" s="20">
        <f>COUNTIF($L7:$L115,4)</f>
        <v>10</v>
      </c>
      <c r="V11" s="20">
        <f>COUNTIF($L7:$L115,"DQ")</f>
        <v>0</v>
      </c>
      <c r="W11" s="20">
        <f>COUNTIF($L7:$L115,"Too Fast")</f>
        <v>1</v>
      </c>
      <c r="X11" s="2">
        <f>K116</f>
        <v>131</v>
      </c>
      <c r="Y11" s="18"/>
    </row>
    <row r="12" spans="1:25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0">
        <v>8.1284722222222229E-4</v>
      </c>
      <c r="F12" s="30"/>
      <c r="G12" s="30">
        <v>8.1273148148148144E-4</v>
      </c>
      <c r="H12" s="30"/>
      <c r="I12" s="30">
        <v>7.8298611111111114E-4</v>
      </c>
      <c r="J12" s="30"/>
      <c r="K12" s="30">
        <v>7.8310185185185178E-4</v>
      </c>
      <c r="L12" s="30"/>
    </row>
    <row r="13" spans="1:25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2</v>
      </c>
      <c r="H13" s="14" cm="1">
        <f t="array" ref="H13">_xlfn.IFS(G13=4,1,G13=3,2,G13=2,3,G13=1,4,G12&lt;$D$12,"Too Fast",G12="DQ","DQ")</f>
        <v>3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3</v>
      </c>
      <c r="L13" s="14" cm="1">
        <f t="array" ref="L13">_xlfn.IFS(K13=4,1,K13=3,2,K13=2,3,K13=1,4,K12&lt;$D$12,"Too Fast",K12="DQ","DQ")</f>
        <v>2</v>
      </c>
      <c r="M13" s="27" t="b">
        <v>0</v>
      </c>
    </row>
    <row r="14" spans="1:25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0">
        <v>2.003472222222222E-4</v>
      </c>
      <c r="F14" s="30"/>
      <c r="G14" s="30">
        <v>1.863425925925926E-4</v>
      </c>
      <c r="H14" s="30"/>
      <c r="I14" s="30">
        <v>2.1608796296296298E-4</v>
      </c>
      <c r="J14" s="30"/>
      <c r="K14" s="30">
        <v>1.9965277777777779E-4</v>
      </c>
      <c r="L14" s="30"/>
    </row>
    <row r="15" spans="1:25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2</v>
      </c>
      <c r="F15" s="14" cm="1">
        <f t="array" ref="F15">_xlfn.IFS(E15=4,1,E15=3,2,E15=2,3,E15=1,4,E14&lt;$D$14,"Too Fast",E14="DQ","DQ")</f>
        <v>3</v>
      </c>
      <c r="G15" s="9">
        <f t="shared" ref="G15" si="9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3</v>
      </c>
      <c r="L15" s="14" cm="1">
        <f t="array" ref="L15">_xlfn.IFS(K15=4,1,K15=3,2,K15=2,3,K15=1,4,K14&lt;$D$14,"Too Fast",K14="DQ","DQ")</f>
        <v>2</v>
      </c>
      <c r="M15" s="27" t="b">
        <v>0</v>
      </c>
    </row>
    <row r="16" spans="1:25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0">
        <v>2.2314814814814815E-4</v>
      </c>
      <c r="F16" s="30"/>
      <c r="G16" s="30">
        <v>1.8657407407407408E-4</v>
      </c>
      <c r="H16" s="30"/>
      <c r="I16" s="30">
        <v>1.9884259259259258E-4</v>
      </c>
      <c r="J16" s="30"/>
      <c r="K16" s="30">
        <v>2.1157407407407409E-4</v>
      </c>
      <c r="L16" s="30"/>
    </row>
    <row r="17" spans="1:13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1</v>
      </c>
      <c r="F17" s="14" cm="1">
        <f t="array" ref="F17">_xlfn.IFS(E17=4,1,E17=3,2,E17=2,3,E17=1,4,E16&lt;$D$16,"Too Fast",E16="DQ","DQ")</f>
        <v>4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3</v>
      </c>
      <c r="J17" s="14" cm="1">
        <f t="array" ref="J17">_xlfn.IFS(I17=4,1,I17=3,2,I17=2,3,I17=1,4,I16&lt;$D$16,"Too Fast",I16="DQ","DQ")</f>
        <v>2</v>
      </c>
      <c r="K17" s="9">
        <f t="shared" ref="K17" si="14">IF(K16="DQ",0,IF(K16&lt;$D$16,0,1+COUNTIFS($E$16:$K$16,"DQ")+COUNTIFS($E$16:$K$16,"&lt;"&amp;$D$16)+COUNTIF($E$16:$K$16,"&gt;"&amp;K$16)))</f>
        <v>2</v>
      </c>
      <c r="L17" s="14" cm="1">
        <f t="array" ref="L17">_xlfn.IFS(K17=4,1,K17=3,2,K17=2,3,K17=1,4,K16&lt;$D$16,"Too Fast",K16="DQ","DQ")</f>
        <v>3</v>
      </c>
      <c r="M17" s="27" t="b">
        <v>0</v>
      </c>
    </row>
    <row r="18" spans="1:13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0">
        <v>5.112268518518519E-4</v>
      </c>
      <c r="F18" s="30"/>
      <c r="G18" s="30">
        <v>5.1180555555555549E-4</v>
      </c>
      <c r="H18" s="30"/>
      <c r="I18" s="30">
        <v>4.9872685185185187E-4</v>
      </c>
      <c r="J18" s="30"/>
      <c r="K18" s="30">
        <v>5.7002314814814817E-4</v>
      </c>
      <c r="L18" s="30"/>
    </row>
    <row r="19" spans="1:13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2</v>
      </c>
      <c r="H19" s="14" cm="1">
        <f t="array" ref="H19">_xlfn.IFS(G19=4,1,G19=3,2,G19=2,3,G19=1,4,G18&lt;$D$18,"Too Fast",G18="DQ","DQ")</f>
        <v>3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1</v>
      </c>
      <c r="L19" s="14" cm="1">
        <f t="array" ref="L19">_xlfn.IFS(K19=4,1,K19=3,2,K19=2,3,K19=1,4,K18&lt;$D$18,"Too Fast",K18="DQ","DQ")</f>
        <v>4</v>
      </c>
      <c r="M19" s="27" t="b">
        <v>0</v>
      </c>
    </row>
    <row r="20" spans="1:13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0">
        <v>5.5694444444444444E-4</v>
      </c>
      <c r="F20" s="30"/>
      <c r="G20" s="30">
        <v>5.0995370370370376E-4</v>
      </c>
      <c r="H20" s="30"/>
      <c r="I20" s="30">
        <v>5.0069444444444445E-4</v>
      </c>
      <c r="J20" s="30"/>
      <c r="K20" s="30">
        <v>4.9548611111111115E-4</v>
      </c>
      <c r="L20" s="30"/>
    </row>
    <row r="21" spans="1:13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1</v>
      </c>
      <c r="F21" s="14" cm="1">
        <f t="array" ref="F21">_xlfn.IFS(E21=4,1,E21=3,2,E21=2,3,E21=1,4,E20&lt;$D$20,"Too Fast",E20="DQ","DQ")</f>
        <v>4</v>
      </c>
      <c r="G21" s="9">
        <f t="shared" ref="G21" si="18">IF(G20="DQ",0,IF(G20&lt;$D$20,0,1+COUNTIFS($E$20:$K$20,"DQ")+COUNTIFS($E$20:$K$20,"&lt;"&amp;$D$20)+COUNTIF($E$20:$K$20,"&gt;"&amp;G$20)))</f>
        <v>2</v>
      </c>
      <c r="H21" s="14" cm="1">
        <f t="array" ref="H21">_xlfn.IFS(G21=4,1,G21=3,2,G21=2,3,G21=1,4,G20&lt;$D$20,"Too Fast",G20="DQ","DQ")</f>
        <v>3</v>
      </c>
      <c r="I21" s="9">
        <f t="shared" ref="I21" si="19">IF(I20="DQ",0,IF(I20&lt;$D$20,0,1+COUNTIFS($E$20:$K$20,"DQ")+COUNTIFS($E$20:$K$20,"&lt;"&amp;$D$20)+COUNTIF($E$20:$K$20,"&gt;"&amp;I$20)))</f>
        <v>3</v>
      </c>
      <c r="J21" s="14" cm="1">
        <f t="array" ref="J21">_xlfn.IFS(I21=4,1,I21=3,2,I21=2,3,I21=1,4,I20&lt;$D$20,"Too Fast",I20="DQ","DQ")</f>
        <v>2</v>
      </c>
      <c r="K21" s="9">
        <f t="shared" ref="K21" si="20">IF(K20="DQ",0,IF(K20&lt;$D$20,0,1+COUNTIFS($E$20:$K$20,"DQ")+COUNTIFS($E$20:$K$20,"&lt;"&amp;$D$20)+COUNTIF($E$20:$K$20,"&gt;"&amp;K$20)))</f>
        <v>4</v>
      </c>
      <c r="L21" s="14" cm="1">
        <f t="array" ref="L21">_xlfn.IFS(K21=4,1,K21=3,2,K21=2,3,K21=1,4,K20&lt;$D$20,"Too Fast",K20="DQ","DQ")</f>
        <v>1</v>
      </c>
      <c r="M21" s="27" t="b">
        <v>0</v>
      </c>
    </row>
    <row r="22" spans="1:13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0">
        <v>4.4016203703703703E-4</v>
      </c>
      <c r="F22" s="30"/>
      <c r="G22" s="30">
        <v>4.1956018518518519E-4</v>
      </c>
      <c r="H22" s="30"/>
      <c r="I22" s="30">
        <v>4.3587962962962959E-4</v>
      </c>
      <c r="J22" s="30"/>
      <c r="K22" s="30">
        <v>4.1701388888888891E-4</v>
      </c>
      <c r="L22" s="30"/>
    </row>
    <row r="23" spans="1:13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21">IF(G22="DQ",0,IF(G22&lt;$D$22,0,1+COUNTIFS($E$22:$K$22,"DQ")+COUNTIFS($E$22:$K$22,"&lt;"&amp;$D$22)+COUNTIF($E$22:$K$22,"&gt;"&amp;G$22)))</f>
        <v>3</v>
      </c>
      <c r="H23" s="14" cm="1">
        <f t="array" ref="H23">_xlfn.IFS(G23=4,1,G23=3,2,G23=2,3,G23=1,4,G22&lt;$D$22,"Too Fast",G22="DQ","DQ")</f>
        <v>2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4</v>
      </c>
      <c r="L23" s="14" cm="1">
        <f t="array" ref="L23">_xlfn.IFS(K23=4,1,K23=3,2,K23=2,3,K23=1,4,K22&lt;$D$22,"Too Fast",K22="DQ","DQ")</f>
        <v>1</v>
      </c>
      <c r="M23" s="27" t="b">
        <v>0</v>
      </c>
    </row>
    <row r="24" spans="1:13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0">
        <v>4.270833333333333E-4</v>
      </c>
      <c r="F24" s="30"/>
      <c r="G24" s="30">
        <v>4.2349537037037041E-4</v>
      </c>
      <c r="H24" s="30"/>
      <c r="I24" s="30">
        <v>3.9027777777777775E-4</v>
      </c>
      <c r="J24" s="30"/>
      <c r="K24" s="30">
        <v>3.9016203703703706E-4</v>
      </c>
      <c r="L24" s="30"/>
    </row>
    <row r="25" spans="1:13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1</v>
      </c>
      <c r="F25" s="14" cm="1">
        <f t="array" ref="F25">_xlfn.IFS(E25=4,1,E25=3,2,E25=2,3,E25=1,4,E24&lt;$D$24,"Too Fast",E24="DQ","DQ")</f>
        <v>4</v>
      </c>
      <c r="G25" s="9">
        <f t="shared" ref="G25" si="24">IF(G24="DQ",0,IF(G24&lt;$D$24,0,1+COUNTIFS($E$24:$K$24,"DQ")+COUNTIFS($E$24:$K$24,"&lt;"&amp;$D$24)+COUNTIF($E$24:$K$24,"&gt;"&amp;G$24)))</f>
        <v>2</v>
      </c>
      <c r="H25" s="14" cm="1">
        <f t="array" ref="H25">_xlfn.IFS(G25=4,1,G25=3,2,G25=2,3,G25=1,4,G24&lt;$D$24,"Too Fast",G24="DQ","DQ")</f>
        <v>3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4</v>
      </c>
      <c r="L25" s="14" cm="1">
        <f t="array" ref="L25">_xlfn.IFS(K25=4,1,K25=3,2,K25=2,3,K25=1,4,K24&lt;$D$24,"Too Fast",K24="DQ","DQ")</f>
        <v>1</v>
      </c>
      <c r="M25" s="27" t="b">
        <v>0</v>
      </c>
    </row>
    <row r="26" spans="1:13" x14ac:dyDescent="0.35">
      <c r="A26" s="2"/>
      <c r="B26" s="12" t="s">
        <v>29</v>
      </c>
      <c r="C26" s="3"/>
      <c r="D26" s="16"/>
      <c r="E26" s="13">
        <f>E7+E9+E11+E13+E15+E17+E19+E21+E23+E25</f>
        <v>17</v>
      </c>
      <c r="F26" s="13"/>
      <c r="G26" s="13">
        <f t="shared" ref="G26:K26" si="27">G7+G9+G11+G13+G15+G17+G19+G21+G23+G25</f>
        <v>26</v>
      </c>
      <c r="H26" s="13"/>
      <c r="I26" s="13">
        <f t="shared" si="27"/>
        <v>30</v>
      </c>
      <c r="J26" s="13"/>
      <c r="K26" s="13">
        <f t="shared" si="27"/>
        <v>26</v>
      </c>
      <c r="L26" s="18"/>
    </row>
    <row r="27" spans="1:13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>
        <v>9.3437500000000009E-4</v>
      </c>
      <c r="F27" s="30"/>
      <c r="G27" s="30">
        <v>9.4328703703703708E-4</v>
      </c>
      <c r="H27" s="30"/>
      <c r="I27" s="30">
        <v>8.7546296296296298E-4</v>
      </c>
      <c r="J27" s="30"/>
      <c r="K27" s="30">
        <v>9.3425925925925924E-4</v>
      </c>
      <c r="L27" s="30"/>
    </row>
    <row r="28" spans="1:13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28">IF(G27="DQ",0,IF(G27&lt;$D$27,0,1+COUNTIFS($E$27:$K$27,"DQ")+COUNTIFS($E$27:$K$27,"&lt;"&amp;$D$27)+COUNTIF($E$27:$K$27,"&gt;"&amp;G$27)))</f>
        <v>1</v>
      </c>
      <c r="H28" s="14" cm="1">
        <f t="array" ref="H28">_xlfn.IFS(G28=4,1,G28=3,2,G28=2,3,G28=1,4,G27&lt;$D$27,"Too Fast",G27="DQ","DQ")</f>
        <v>4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3</v>
      </c>
      <c r="L28" s="14" cm="1">
        <f t="array" ref="L28">_xlfn.IFS(K28=4,1,K28=3,2,K28=2,3,K28=1,4,K27&lt;$D$27,"Too Fast",K27="DQ","DQ")</f>
        <v>2</v>
      </c>
      <c r="M28" s="27" t="b">
        <v>0</v>
      </c>
    </row>
    <row r="29" spans="1:13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>
        <v>7.935185185185186E-4</v>
      </c>
      <c r="F29" s="30"/>
      <c r="G29" s="30">
        <v>7.7928240740740735E-4</v>
      </c>
      <c r="H29" s="30"/>
      <c r="I29" s="30">
        <v>7.7916666666666661E-4</v>
      </c>
      <c r="J29" s="30"/>
      <c r="K29" s="30">
        <v>7.5046296296296298E-4</v>
      </c>
      <c r="L29" s="30"/>
    </row>
    <row r="30" spans="1:13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  <c r="M30" s="27" t="b">
        <v>0</v>
      </c>
    </row>
    <row r="31" spans="1:13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>
        <v>1.0959490740740741E-3</v>
      </c>
      <c r="F31" s="30"/>
      <c r="G31" s="28">
        <v>9.5416666666666664E-4</v>
      </c>
      <c r="H31" s="29"/>
      <c r="I31" s="28">
        <v>1.0958333333333334E-3</v>
      </c>
      <c r="J31" s="29"/>
      <c r="K31" s="28">
        <v>1.0811342592592591E-3</v>
      </c>
      <c r="L31" s="29"/>
    </row>
    <row r="32" spans="1:13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4</v>
      </c>
      <c r="H32" s="14" cm="1">
        <f t="array" ref="H32">_xlfn.IFS(G32=4,1,G32=3,2,G32=2,3,G32=1,4,G31&lt;$D$31,"Too Fast",G31="DQ","DQ")</f>
        <v>1</v>
      </c>
      <c r="I32" s="9">
        <f>IF(I31="DQ",0,IF(I31&lt;$D$31,0,1+COUNTIFS($E$31:$T$31,"DQ")+COUNTIFS($E$31:$T$31,"&lt;"&amp;$D$31)+COUNTIF($E$31:$T$31,"&gt;"&amp;I$31)))</f>
        <v>2</v>
      </c>
      <c r="J32" s="14" cm="1">
        <f t="array" ref="J32">_xlfn.IFS(I32=4,1,I32=3,2,I32=2,3,I32=1,4,I31&lt;$D$31,"Too Fast",I31="DQ","DQ")</f>
        <v>3</v>
      </c>
      <c r="K32" s="9">
        <f>IF(K31="DQ",0,IF(K31&lt;$D$31,0,1+COUNTIFS($E$31:$T$31,"DQ")+COUNTIFS($E$31:$T$31,"&lt;"&amp;$D$31)+COUNTIF($E$31:$T$31,"&gt;"&amp;K$31)))</f>
        <v>3</v>
      </c>
      <c r="L32" s="14" cm="1">
        <f t="array" ref="L32">_xlfn.IFS(K32=4,1,K32=3,2,K32=2,3,K32=1,4,K31&lt;$D$31,"Too Fast",K31="DQ","DQ")</f>
        <v>2</v>
      </c>
      <c r="M32" s="27" t="b">
        <v>0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>
        <v>1.0908564814814815E-3</v>
      </c>
      <c r="F33" s="30"/>
      <c r="G33" s="30">
        <v>9.353009259259259E-4</v>
      </c>
      <c r="H33" s="30"/>
      <c r="I33" s="30">
        <v>9.6886574074074084E-4</v>
      </c>
      <c r="J33" s="30"/>
      <c r="K33" s="30">
        <v>1.012037037037037E-3</v>
      </c>
      <c r="L33" s="30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2</v>
      </c>
      <c r="L34" s="14" cm="1">
        <f t="array" ref="L34">_xlfn.IFS(K34=4,1,K34=3,2,K34=2,3,K34=1,4,K33&lt;$D$33,"Too Fast",K33="DQ","DQ")</f>
        <v>3</v>
      </c>
      <c r="M34" s="27" t="b">
        <v>0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>
        <v>7.9710648148148154E-4</v>
      </c>
      <c r="F35" s="30"/>
      <c r="G35" s="30">
        <v>7.6608796296296299E-4</v>
      </c>
      <c r="H35" s="30"/>
      <c r="I35" s="30">
        <v>7.2719907407407401E-4</v>
      </c>
      <c r="J35" s="30"/>
      <c r="K35" s="30">
        <v>7.6620370370370373E-4</v>
      </c>
      <c r="L35" s="30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1</v>
      </c>
      <c r="F36" s="14" cm="1">
        <f t="array" ref="F36">_xlfn.IFS(E36=4,1,E36=3,2,E36=2,3,E36=1,4,E35&lt;$D$35,"Too Fast",E35="DQ","DQ")</f>
        <v>4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2</v>
      </c>
      <c r="L36" s="14" cm="1">
        <f t="array" ref="L36">_xlfn.IFS(K36=4,1,K36=3,2,K36=2,3,K36=1,4,K35&lt;$D$35,"Too Fast",K35="DQ","DQ")</f>
        <v>3</v>
      </c>
      <c r="M36" s="27" t="b">
        <v>0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>
        <v>7.8414351851851854E-4</v>
      </c>
      <c r="F37" s="30"/>
      <c r="G37" s="30">
        <v>6.9513888888888891E-4</v>
      </c>
      <c r="H37" s="30"/>
      <c r="I37" s="30">
        <v>7.2013888888888887E-4</v>
      </c>
      <c r="J37" s="30"/>
      <c r="K37" s="30">
        <v>7.0891203703703708E-4</v>
      </c>
      <c r="L37" s="30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1</v>
      </c>
      <c r="F38" s="14" cm="1">
        <f t="array" ref="F38">_xlfn.IFS(E38=4,1,E38=3,2,E38=2,3,E38=1,4,E37&lt;$D$37,"Too Fast",E37="DQ","DQ")</f>
        <v>4</v>
      </c>
      <c r="G38" s="9">
        <f>IF(G37="DQ",0,IF(G37&lt;$D$37,0,1+COUNTIFS($E$37:$K$37,"DQ")+COUNTIFS($E$37:$K$37,"&lt;"&amp;$D$37)+COUNTIF($E$37:$K$37,"&gt;"&amp;G37)))</f>
        <v>4</v>
      </c>
      <c r="H38" s="14" cm="1">
        <f t="array" ref="H38">_xlfn.IFS(G38=4,1,G38=3,2,G38=2,3,G38=1,4,G37&lt;$D$37,"Too Fast",G37="DQ","DQ")</f>
        <v>1</v>
      </c>
      <c r="I38" s="9">
        <f>IF(I37="DQ",0,IF(I37&lt;$D$37,0,1+COUNTIFS($E$37:$K$37,"DQ")+COUNTIFS($E$37:$K$37,"&lt;"&amp;$D$37)+COUNTIF($E$37:$K$37,"&gt;"&amp;I37)))</f>
        <v>2</v>
      </c>
      <c r="J38" s="14" cm="1">
        <f t="array" ref="J38">_xlfn.IFS(I38=4,1,I38=3,2,I38=2,3,I38=1,4,I37&lt;$D$37,"Too Fast",I37="DQ","DQ")</f>
        <v>3</v>
      </c>
      <c r="K38" s="9">
        <f>IF(K37="DQ",0,IF(K37&lt;$D$37,0,1+COUNTIFS($E$37:$K$37,"DQ")+COUNTIFS($E$37:$K$37,"&lt;"&amp;$D$37)+COUNTIF($E$37:$K$37,"&gt;"&amp;K37)))</f>
        <v>3</v>
      </c>
      <c r="L38" s="14" cm="1">
        <f t="array" ref="L38">_xlfn.IFS(K38=4,1,K38=3,2,K38=2,3,K38=1,4,K37&lt;$D$37,"Too Fast",K37="DQ","DQ")</f>
        <v>2</v>
      </c>
      <c r="M38" s="27" t="b">
        <v>0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>
        <v>4.778935185185185E-4</v>
      </c>
      <c r="F39" s="30"/>
      <c r="G39" s="30">
        <v>4.708333333333333E-4</v>
      </c>
      <c r="H39" s="30"/>
      <c r="I39" s="30">
        <v>4.6666666666666666E-4</v>
      </c>
      <c r="J39" s="30"/>
      <c r="K39" s="30">
        <v>4.9155092592592588E-4</v>
      </c>
      <c r="L39" s="30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2</v>
      </c>
      <c r="F40" s="14" cm="1">
        <f t="array" ref="F40">_xlfn.IFS(E40=4,1,E40=3,2,E40=2,3,E40=1,4,E39&lt;$D$39,"Too Fast",E39="DQ","DQ")</f>
        <v>3</v>
      </c>
      <c r="G40" s="9">
        <f>IF(G39="DQ",0,IF(G39&lt;$D$39,0,1+COUNTIFS($E$39:$K$39,"DQ")+COUNTIFS($E$39:$K$39,"&lt;"&amp;$D$39)+COUNTIF($E$39:$K$39,"&gt;"&amp;G39)))</f>
        <v>3</v>
      </c>
      <c r="H40" s="14" cm="1">
        <f t="array" ref="H40">_xlfn.IFS(G40=4,1,G40=3,2,G40=2,3,G40=1,4,G39&lt;$D$39,"Too Fast",G39="DQ","DQ")</f>
        <v>2</v>
      </c>
      <c r="I40" s="9">
        <f>IF(I39="DQ",0,IF(I39&lt;$D$39,0,1+COUNTIFS($E$39:$K$39,"DQ")+COUNTIFS($E$39:$K$39,"&lt;"&amp;$D$39)+COUNTIF($E$39:$K$39,"&gt;"&amp;I39)))</f>
        <v>4</v>
      </c>
      <c r="J40" s="14" cm="1">
        <f t="array" ref="J40">_xlfn.IFS(I40=4,1,I40=3,2,I40=2,3,I40=1,4,I39&lt;$D$39,"Too Fast",I39="DQ","DQ")</f>
        <v>1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M40" s="27" t="b">
        <v>0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>
        <v>4.422453703703704E-4</v>
      </c>
      <c r="F41" s="30"/>
      <c r="G41" s="30">
        <v>4.7094907407407404E-4</v>
      </c>
      <c r="H41" s="30"/>
      <c r="I41" s="30">
        <v>4.878472222222222E-4</v>
      </c>
      <c r="J41" s="30"/>
      <c r="K41" s="30">
        <v>4.3831018518518514E-4</v>
      </c>
      <c r="L41" s="30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1</v>
      </c>
      <c r="J42" s="14" cm="1">
        <f t="array" ref="J42">_xlfn.IFS(I42=4,1,I42=3,2,I42=2,3,I42=1,4,I41&lt;$D$41,"Too Fast",I41="DQ","DQ")</f>
        <v>4</v>
      </c>
      <c r="K42" s="9">
        <f>IF(K41="DQ",0,IF(K41&lt;$D$41,0,1+COUNTIFS($E$41:$K$41,"DQ")+COUNTIFS($E$41:$K$41,"&lt;"&amp;$D$41)+COUNTIF($E$41:$K$41,"&gt;"&amp;K41)))</f>
        <v>4</v>
      </c>
      <c r="L42" s="14" cm="1">
        <f t="array" ref="L42">_xlfn.IFS(K42=4,1,K42=3,2,K42=2,3,K42=1,4,K41&lt;$D$41,"Too Fast",K41="DQ","DQ")</f>
        <v>1</v>
      </c>
      <c r="M42" s="27" t="b">
        <v>0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>
        <v>8.9872685185185194E-4</v>
      </c>
      <c r="F43" s="30"/>
      <c r="G43" s="30">
        <v>9.2337962962962968E-4</v>
      </c>
      <c r="H43" s="30"/>
      <c r="I43" s="30">
        <v>8.7719907407407397E-4</v>
      </c>
      <c r="J43" s="30"/>
      <c r="K43" s="30">
        <v>9.020833333333333E-4</v>
      </c>
      <c r="L43" s="30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1</v>
      </c>
      <c r="H44" s="14" cm="1">
        <f t="array" ref="H44">_xlfn.IFS(G44=4,1,G44=3,2,G44=2,3,G44=1,4,G43&lt;$D$43,"Too Fast",G43="DQ","DQ")</f>
        <v>4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2</v>
      </c>
      <c r="L44" s="14" cm="1">
        <f t="array" ref="L44">_xlfn.IFS(K44=4,1,K44=3,2,K44=2,3,K44=1,4,K43&lt;$D$43,"Too Fast",K43="DQ","DQ")</f>
        <v>3</v>
      </c>
      <c r="M44" s="27" t="b">
        <v>0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>
        <v>7.8634259259259261E-4</v>
      </c>
      <c r="F45" s="30"/>
      <c r="G45" s="30">
        <v>7.8738425925925927E-4</v>
      </c>
      <c r="H45" s="30"/>
      <c r="I45" s="30">
        <v>7.6956018518518508E-4</v>
      </c>
      <c r="J45" s="30"/>
      <c r="K45" s="30">
        <v>9.1655092592592591E-4</v>
      </c>
      <c r="L45" s="30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1</v>
      </c>
      <c r="L46" s="14" cm="1">
        <f t="array" ref="L46">_xlfn.IFS(K46=4,1,K46=3,2,K46=2,3,K46=1,4,K45&lt;$D$45,"Too Fast",K45="DQ","DQ")</f>
        <v>4</v>
      </c>
      <c r="M46" s="27" t="b">
        <v>0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35</v>
      </c>
      <c r="F47" s="19"/>
      <c r="G47" s="19">
        <f t="shared" ref="G47:K47" si="31">G26+G28+G30+G32+G34+G36+G38+G40+G42+G44+G46</f>
        <v>52</v>
      </c>
      <c r="H47" s="19"/>
      <c r="I47" s="19">
        <f t="shared" si="31"/>
        <v>61</v>
      </c>
      <c r="J47" s="19"/>
      <c r="K47" s="19">
        <f t="shared" si="31"/>
        <v>51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>
        <v>2.2650462962962964E-4</v>
      </c>
      <c r="F48" s="30"/>
      <c r="G48" s="30">
        <v>2.1516203703703704E-4</v>
      </c>
      <c r="H48" s="30"/>
      <c r="I48" s="30">
        <v>2.704861111111111E-4</v>
      </c>
      <c r="J48" s="30"/>
      <c r="K48" s="30">
        <v>2.0879629629629628E-4</v>
      </c>
      <c r="L48" s="30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1</v>
      </c>
      <c r="J49" s="14" cm="1">
        <f t="array" ref="J49">_xlfn.IFS(I49=4,1,I49=3,2,I49=2,3,I49=1,4,I48&lt;$D$48,"Too Fast",I48="DQ","DQ")</f>
        <v>4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M49" s="27" t="b">
        <v>0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>
        <v>2.5567129629629632E-4</v>
      </c>
      <c r="F50" s="30"/>
      <c r="G50" s="30">
        <v>2.2210648148148149E-4</v>
      </c>
      <c r="H50" s="30"/>
      <c r="I50" s="30">
        <v>2.4791666666666668E-4</v>
      </c>
      <c r="J50" s="30"/>
      <c r="K50" s="30">
        <v>2.3078703703703705E-4</v>
      </c>
      <c r="L50" s="30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1</v>
      </c>
      <c r="F51" s="14" cm="1">
        <f t="array" ref="F51">_xlfn.IFS(E51=4,1,E51=3,2,E51=2,3,E51=1,4,E50&lt;$D$50,"Too Fast",E50="DQ","DQ")</f>
        <v>4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2</v>
      </c>
      <c r="J51" s="14" cm="1">
        <f t="array" ref="J51">_xlfn.IFS(I51=4,1,I51=3,2,I51=2,3,I51=1,4,I50&lt;$D$50,"Too Fast",I50="DQ","DQ")</f>
        <v>3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M51" s="27" t="b">
        <v>0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>
        <v>4.2210648148148148E-4</v>
      </c>
      <c r="F52" s="30"/>
      <c r="G52" s="30">
        <v>3.8090277777777775E-4</v>
      </c>
      <c r="H52" s="30"/>
      <c r="I52" s="30">
        <v>3.8483796296296297E-4</v>
      </c>
      <c r="J52" s="30"/>
      <c r="K52" s="30">
        <v>3.9745370370370374E-4</v>
      </c>
      <c r="L52" s="30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4</v>
      </c>
      <c r="H53" s="14" cm="1">
        <f t="array" ref="H53">_xlfn.IFS(G53=4,1,G53=3,2,G53=2,3,G53=1,4,G52&lt;$D$52,"Too Fast",G52="DQ","DQ")</f>
        <v>1</v>
      </c>
      <c r="I53" s="9">
        <f>IF(I52="DQ",0,IF(I52&lt;$D$52,0,1+COUNTIFS($E$52:$K$52,"DQ")+COUNTIFS($E$52:$K$52,"&lt;"&amp;$D$52)+COUNTIF($E$52:$K$52,"&gt;"&amp;I52)))</f>
        <v>3</v>
      </c>
      <c r="J53" s="14" cm="1">
        <f t="array" ref="J53">_xlfn.IFS(I53=4,1,I53=3,2,I53=2,3,I53=1,4,I52&lt;$D$52,"Too Fast",I52="DQ","DQ")</f>
        <v>2</v>
      </c>
      <c r="K53" s="9">
        <f>IF(K52="DQ",0,IF(K52&lt;$D$52,0,1+COUNTIFS($E$52:$K$52,"DQ")+COUNTIFS($E$52:$K$52,"&lt;"&amp;$D$52)+COUNTIF($E$52:$K$52,"&gt;"&amp;K52)))</f>
        <v>2</v>
      </c>
      <c r="L53" s="14" cm="1">
        <f t="array" ref="L53">_xlfn.IFS(K53=4,1,K53=3,2,K53=2,3,K53=1,4,K52&lt;$D$52,"Too Fast",K52="DQ","DQ")</f>
        <v>3</v>
      </c>
      <c r="M53" s="27" t="b">
        <v>0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>
        <v>4.2962962962962958E-4</v>
      </c>
      <c r="F54" s="30"/>
      <c r="G54" s="30">
        <v>3.5486111111111113E-4</v>
      </c>
      <c r="H54" s="30"/>
      <c r="I54" s="30">
        <v>3.5138888888888888E-4</v>
      </c>
      <c r="J54" s="30"/>
      <c r="K54" s="30">
        <v>3.7071759259259263E-4</v>
      </c>
      <c r="L54" s="30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4</v>
      </c>
      <c r="H55" s="14" cm="1">
        <f t="array" ref="H55">_xlfn.IFS(G55=4,1,G55=3,2,G55=2,3,G55=1,4,G54&lt;$D$54,"Too Fast",G54="DQ","DQ")</f>
        <v>1</v>
      </c>
      <c r="I55" s="9">
        <f>IF(I54="DQ",0,IF(I54&lt;$D$54,0,1+COUNTIFS($E$54:$K$54,"DQ")+COUNTIFS($E$54:$K$54,"&lt;"&amp;$D$54)+COUNTIF($E$54:$K$54,"&gt;"&amp;I54)))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IF(K54="DQ",0,IF(K54&lt;$D$54,0,1+COUNTIFS($E$54:$K$54,"DQ")+COUNTIFS($E$54:$K$54,"&lt;"&amp;$D$54)+COUNTIF($E$54:$K$54,"&gt;"&amp;K54)))</f>
        <v>3</v>
      </c>
      <c r="L55" s="14" cm="1">
        <f t="array" ref="L55">_xlfn.IFS(K55=4,1,K55=3,2,K55=2,3,K55=1,4,K54&lt;$D$54,"Too Fast",K54="DQ","DQ")</f>
        <v>2</v>
      </c>
      <c r="M55" s="27" t="b">
        <v>0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>
        <v>1.7607638888888888E-3</v>
      </c>
      <c r="F56" s="30"/>
      <c r="G56" s="30">
        <v>1.6706018518518519E-3</v>
      </c>
      <c r="H56" s="30"/>
      <c r="I56" s="30">
        <v>1.6810185185185185E-3</v>
      </c>
      <c r="J56" s="30"/>
      <c r="K56" s="30">
        <v>1.6753472222222222E-3</v>
      </c>
      <c r="L56" s="30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4</v>
      </c>
      <c r="H57" s="14" cm="1">
        <f t="array" ref="H57">_xlfn.IFS(G57=4,1,G57=3,2,G57=2,3,G57=1,4,G56&lt;$D$56,"Too Fast",G56="DQ","DQ")</f>
        <v>1</v>
      </c>
      <c r="I57" s="9">
        <f>IF(I56="DQ",0,IF(I56&lt;$D$56,0,1+COUNTIFS($E$56:$K$56,"DQ")+COUNTIFS($E$56:$K$56,"&lt;"&amp;$D$56)+COUNTIF($E$56:$K$56,"&gt;"&amp;I56)))</f>
        <v>2</v>
      </c>
      <c r="J57" s="14" cm="1">
        <f t="array" ref="J57">_xlfn.IFS(I57=4,1,I57=3,2,I57=2,3,I57=1,4,I56&lt;$D$56,"Too Fast",I56="DQ","DQ")</f>
        <v>3</v>
      </c>
      <c r="K57" s="9">
        <f>IF(K56="DQ",0,IF(K56&lt;$D$56,0,1+COUNTIFS($E$56:$K$56,"DQ")+COUNTIFS($E$56:$K$56,"&lt;"&amp;$D$56)+COUNTIF($E$56:$K$56,"&gt;"&amp;K56)))</f>
        <v>3</v>
      </c>
      <c r="L57" s="14" cm="1">
        <f t="array" ref="L57">_xlfn.IFS(K57=4,1,K57=3,2,K57=2,3,K57=1,4,K56&lt;$D$56,"Too Fast",K56="DQ","DQ")</f>
        <v>2</v>
      </c>
      <c r="M57" s="27" t="b">
        <v>0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>
        <v>1.659375E-3</v>
      </c>
      <c r="F58" s="30"/>
      <c r="G58" s="30">
        <v>1.6222222222222222E-3</v>
      </c>
      <c r="H58" s="30"/>
      <c r="I58" s="30">
        <v>1.6528935185185186E-3</v>
      </c>
      <c r="J58" s="30"/>
      <c r="K58" s="30">
        <v>1.5415509259259258E-3</v>
      </c>
      <c r="L58" s="30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M59" s="27" t="b">
        <v>0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>
        <v>1.6927083333333334E-3</v>
      </c>
      <c r="F60" s="30"/>
      <c r="G60" s="30">
        <v>1.6381944444444443E-3</v>
      </c>
      <c r="H60" s="30"/>
      <c r="I60" s="30" t="s">
        <v>105</v>
      </c>
      <c r="J60" s="30"/>
      <c r="K60" s="30">
        <v>1.6515046296296295E-3</v>
      </c>
      <c r="L60" s="30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4</v>
      </c>
      <c r="H61" s="14" cm="1">
        <f t="array" ref="H61">_xlfn.IFS(G61=4,1,G61=3,2,G61=2,3,G61=1,4,G60&lt;$D$60,"Too Fast",G60="DQ","DQ")</f>
        <v>1</v>
      </c>
      <c r="I61" s="9">
        <f>IF(I60="DQ",0,IF(I60&lt;$D$60,0,1+COUNTIFS($E$60:$K$60,"DQ")+COUNTIFS($E$60:$K$60,"&lt;"&amp;$D$60)+COUNTIF($E$60:$K$60,"&gt;"&amp;I60)))</f>
        <v>0</v>
      </c>
      <c r="J61" s="14" t="str" cm="1">
        <f t="array" ref="J61">_xlfn.IFS(I61=4,1,I61=3,2,I61=2,3,I61=1,4,I60&lt;$D$60,"Too Fast",I60="DQ","DQ")</f>
        <v>DQ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M61" s="27" t="b">
        <v>0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>
        <v>1.4916666666666665E-3</v>
      </c>
      <c r="F62" s="30"/>
      <c r="G62" s="30">
        <v>1.4738425925925926E-3</v>
      </c>
      <c r="H62" s="30"/>
      <c r="I62" s="30">
        <v>1.439236111111111E-3</v>
      </c>
      <c r="J62" s="30"/>
      <c r="K62" s="30">
        <v>1.4594907407407406E-3</v>
      </c>
      <c r="L62" s="30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M63" s="27" t="b">
        <v>0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>
        <v>2.4050925925925927E-4</v>
      </c>
      <c r="F64" s="30"/>
      <c r="G64" s="30">
        <v>2.4236111111111114E-4</v>
      </c>
      <c r="H64" s="30"/>
      <c r="I64" s="30">
        <v>2.4537037037037035E-4</v>
      </c>
      <c r="J64" s="30"/>
      <c r="K64" s="30">
        <v>2.9259259259259261E-4</v>
      </c>
      <c r="L64" s="30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1</v>
      </c>
      <c r="L65" s="14" cm="1">
        <f t="array" ref="L65">_xlfn.IFS(K65=4,1,K65=3,2,K65=2,3,K65=1,4,K64&lt;$D$64,"Too Fast",K64="DQ","DQ")</f>
        <v>4</v>
      </c>
      <c r="M65" s="27" t="b">
        <v>0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>
        <v>2.2071759259259259E-4</v>
      </c>
      <c r="F66" s="30"/>
      <c r="G66" s="30">
        <v>2.4131944444444445E-4</v>
      </c>
      <c r="H66" s="30"/>
      <c r="I66" s="30">
        <v>2.611111111111111E-4</v>
      </c>
      <c r="J66" s="30"/>
      <c r="K66" s="30">
        <v>2.5277777777777777E-4</v>
      </c>
      <c r="L66" s="30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2</v>
      </c>
      <c r="L67" s="14" cm="1">
        <f t="array" ref="L67">_xlfn.IFS(K67=4,1,K67=3,2,K67=2,3,K67=1,4,K66&lt;$D$66,"Too Fast",K66="DQ","DQ")</f>
        <v>3</v>
      </c>
      <c r="M67" s="27" t="b">
        <v>0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54</v>
      </c>
      <c r="F68" s="19"/>
      <c r="G68" s="19">
        <f t="shared" ref="G68:K68" si="32">G47+G49+G51+G53+G55+G57+G59+G61+G63+G65+G67</f>
        <v>86</v>
      </c>
      <c r="H68" s="19"/>
      <c r="I68" s="19">
        <f t="shared" si="32"/>
        <v>78</v>
      </c>
      <c r="J68" s="19"/>
      <c r="K68" s="19">
        <f t="shared" si="32"/>
        <v>79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>
        <v>4.5636574074074074E-4</v>
      </c>
      <c r="F69" s="29"/>
      <c r="G69" s="28">
        <v>4.4525462962962959E-4</v>
      </c>
      <c r="H69" s="29"/>
      <c r="I69" s="28">
        <v>4.725694444444444E-4</v>
      </c>
      <c r="J69" s="29"/>
      <c r="K69" s="28">
        <v>4.4780092592592587E-4</v>
      </c>
      <c r="L69" s="29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2</v>
      </c>
      <c r="F70" s="14" cm="1">
        <f t="array" ref="F70">_xlfn.IFS(E70=4,1,E70=3,2,E70=2,3,E70=1,4,E69&lt;$D$69,"Too Fast",E69="DQ","DQ")</f>
        <v>3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3</v>
      </c>
      <c r="L70" s="14" cm="1">
        <f t="array" ref="L70">_xlfn.IFS(K70=4,1,K70=3,2,K70=2,3,K70=1,4,K69&lt;$D$69,"Too Fast",K69="DQ","DQ")</f>
        <v>2</v>
      </c>
      <c r="M70" s="27" t="b">
        <v>0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>
        <v>4.6342592592592594E-4</v>
      </c>
      <c r="F71" s="29"/>
      <c r="G71" s="28">
        <v>4.4386574074074077E-4</v>
      </c>
      <c r="H71" s="29"/>
      <c r="I71" s="28">
        <v>4.4259259259259263E-4</v>
      </c>
      <c r="J71" s="29"/>
      <c r="K71" s="28">
        <v>5.1180555555555549E-4</v>
      </c>
      <c r="L71" s="29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3</v>
      </c>
      <c r="H72" s="14" cm="1">
        <f t="array" ref="H72">_xlfn.IFS(G72=4,1,G72=3,2,G72=2,3,G72=1,4,G71&lt;$D$71,"Too Fast",G71="DQ","DQ")</f>
        <v>2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1</v>
      </c>
      <c r="L72" s="14" cm="1">
        <f t="array" ref="L72">_xlfn.IFS(K72=4,1,K72=3,2,K72=2,3,K72=1,4,K71&lt;$D$71,"Too Fast",K71="DQ","DQ")</f>
        <v>4</v>
      </c>
      <c r="M72" s="27" t="b">
        <v>0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>
        <v>3.972222222222222E-4</v>
      </c>
      <c r="F73" s="29"/>
      <c r="G73" s="28">
        <v>3.6273148148148146E-4</v>
      </c>
      <c r="H73" s="29"/>
      <c r="I73" s="28">
        <v>3.7210648148148145E-4</v>
      </c>
      <c r="J73" s="29"/>
      <c r="K73" s="28">
        <v>3.5810185185185185E-4</v>
      </c>
      <c r="L73" s="29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4</v>
      </c>
      <c r="L74" s="14" cm="1">
        <f t="array" ref="L74">_xlfn.IFS(K74=4,1,K74=3,2,K74=2,3,K74=1,4,K73&lt;$D$73,"Too Fast",K73="DQ","DQ")</f>
        <v>1</v>
      </c>
      <c r="M74" s="27" t="b">
        <v>0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>
        <v>3.6030092592592591E-4</v>
      </c>
      <c r="F75" s="29"/>
      <c r="G75" s="28">
        <v>3.4363425925925929E-4</v>
      </c>
      <c r="H75" s="29"/>
      <c r="I75" s="28">
        <v>3.423611111111111E-4</v>
      </c>
      <c r="J75" s="29"/>
      <c r="K75" s="28">
        <v>3.4317129629629628E-4</v>
      </c>
      <c r="L75" s="29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4</v>
      </c>
      <c r="J76" s="14" cm="1">
        <f t="array" ref="J76">_xlfn.IFS(I76=4,1,I76=3,2,I76=2,3,I76=1,4,I75&lt;$D$75,"Too Fast",I75="DQ","DQ")</f>
        <v>1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  <c r="M76" s="27" t="b">
        <v>0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>
        <v>1.0626157407407407E-3</v>
      </c>
      <c r="F77" s="29"/>
      <c r="G77" s="28">
        <v>1.027199074074074E-3</v>
      </c>
      <c r="H77" s="29"/>
      <c r="I77" s="28">
        <v>9.8078703703703696E-4</v>
      </c>
      <c r="J77" s="29"/>
      <c r="K77" s="28">
        <v>1.0770833333333333E-3</v>
      </c>
      <c r="L77" s="29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3</v>
      </c>
      <c r="H78" s="14" cm="1">
        <f t="array" ref="H78">_xlfn.IFS(G78=4,1,G78=3,2,G78=2,3,G78=1,4,G77&lt;$D$77,"Too Fast",G77="DQ","DQ")</f>
        <v>2</v>
      </c>
      <c r="I78" s="9">
        <f>IF(I77="DQ",0,IF(I77&lt;$D$77,0,1+COUNTIFS($E$77:$K$77,"DQ")+COUNTIFS($E$77:$K$77,"&lt;"&amp;$D$77)+COUNTIF($E$77:$K$77,"&gt;"&amp;I77)))</f>
        <v>4</v>
      </c>
      <c r="J78" s="14" cm="1">
        <f t="array" ref="J78">_xlfn.IFS(I78=4,1,I78=3,2,I78=2,3,I78=1,4,I77&lt;$D$77,"Too Fast",I77="DQ","DQ")</f>
        <v>1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  <c r="M78" s="27" t="b">
        <v>0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>
        <v>1.0285879629629629E-3</v>
      </c>
      <c r="F79" s="29"/>
      <c r="G79" s="28">
        <v>9.4768518518518509E-4</v>
      </c>
      <c r="H79" s="29"/>
      <c r="I79" s="28">
        <v>9.2002314814814811E-4</v>
      </c>
      <c r="J79" s="29"/>
      <c r="K79" s="28">
        <v>9.8703703703703714E-4</v>
      </c>
      <c r="L79" s="29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2</v>
      </c>
      <c r="L80" s="14" cm="1">
        <f t="array" ref="L80">_xlfn.IFS(K80=4,1,K80=3,2,K80=2,3,K80=1,4,K79&lt;$D$79,"Too Fast",K79="DQ","DQ")</f>
        <v>3</v>
      </c>
      <c r="M80" s="27" t="b">
        <v>0</v>
      </c>
    </row>
    <row r="81" spans="1:13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>
        <v>9.621527777777777E-4</v>
      </c>
      <c r="F81" s="29"/>
      <c r="G81" s="28">
        <v>8.3252314814814821E-4</v>
      </c>
      <c r="H81" s="29"/>
      <c r="I81" s="28">
        <v>9.5011574074074074E-4</v>
      </c>
      <c r="J81" s="29"/>
      <c r="K81" s="28">
        <v>9.3611111111111108E-4</v>
      </c>
      <c r="L81" s="29"/>
    </row>
    <row r="82" spans="1:13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4</v>
      </c>
      <c r="H82" s="14" cm="1">
        <f t="array" ref="H82">_xlfn.IFS(G82=4,1,G82=3,2,G82=2,3,G82=1,4,G81&lt;$D$81,"Too Fast",G81="DQ","DQ")</f>
        <v>1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3</v>
      </c>
      <c r="L82" s="14" cm="1">
        <f t="array" ref="L82">_xlfn.IFS(K82=4,1,K82=3,2,K82=2,3,K82=1,4,K81&lt;$D$81,"Too Fast",K81="DQ","DQ")</f>
        <v>2</v>
      </c>
      <c r="M82" s="27" t="b">
        <v>0</v>
      </c>
    </row>
    <row r="83" spans="1:13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>
        <v>9.2337962962962968E-4</v>
      </c>
      <c r="F83" s="29"/>
      <c r="G83" s="28">
        <v>8.2465277777777778E-4</v>
      </c>
      <c r="H83" s="29"/>
      <c r="I83" s="28">
        <v>8.3923611111111113E-4</v>
      </c>
      <c r="J83" s="29"/>
      <c r="K83" s="28">
        <v>8.9837962962962972E-4</v>
      </c>
      <c r="L83" s="29"/>
    </row>
    <row r="84" spans="1:13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1</v>
      </c>
      <c r="F84" s="14" cm="1">
        <f t="array" ref="F84">_xlfn.IFS(E84=4,1,E84=3,2,E84=2,3,E84=1,4,E83&lt;$D$83,"Too Fast",E83="DQ","DQ")</f>
        <v>4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  <c r="M84" s="27" t="b">
        <v>0</v>
      </c>
    </row>
    <row r="85" spans="1:13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>
        <v>8.734953703703704E-4</v>
      </c>
      <c r="F85" s="29"/>
      <c r="G85" s="28">
        <v>8.72337962962963E-4</v>
      </c>
      <c r="H85" s="29"/>
      <c r="I85" s="28">
        <v>8.8206018518518527E-4</v>
      </c>
      <c r="J85" s="29"/>
      <c r="K85" s="28">
        <v>8.7569444444444446E-4</v>
      </c>
      <c r="L85" s="29"/>
    </row>
    <row r="86" spans="1:13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4</v>
      </c>
      <c r="H86" s="14" cm="1">
        <f t="array" ref="H86">_xlfn.IFS(G86=4,1,G86=3,2,G86=2,3,G86=1,4,G85&lt;$D$85,"Too Fast",G85="DQ","DQ")</f>
        <v>1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2</v>
      </c>
      <c r="L86" s="14" cm="1">
        <f t="array" ref="L86">_xlfn.IFS(K86=4,1,K86=3,2,K86=2,3,K86=1,4,K85&lt;$D$85,"Too Fast",K85="DQ","DQ")</f>
        <v>3</v>
      </c>
      <c r="M86" s="27" t="b">
        <v>0</v>
      </c>
    </row>
    <row r="87" spans="1:13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>
        <v>1.0207175925925926E-3</v>
      </c>
      <c r="F87" s="29"/>
      <c r="G87" s="28">
        <v>8.1886574074074077E-4</v>
      </c>
      <c r="H87" s="29"/>
      <c r="I87" s="28">
        <v>8.6979166666666672E-4</v>
      </c>
      <c r="J87" s="29"/>
      <c r="K87" s="28">
        <v>8.7060185185185179E-4</v>
      </c>
      <c r="L87" s="29"/>
    </row>
    <row r="88" spans="1:13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1</v>
      </c>
      <c r="F88" s="14" cm="1">
        <f t="array" ref="F88">_xlfn.IFS(E88=4,1,E88=3,2,E88=2,3,E88=1,4,E87&lt;$D$87,"Too Fast",E87="DQ","DQ")</f>
        <v>4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3</v>
      </c>
      <c r="J88" s="14" cm="1">
        <f t="array" ref="J88">_xlfn.IFS(I88=4,1,I88=3,2,I88=2,3,I88=1,4,I87&lt;$D$87,"Too Fast",I87="DQ","DQ")</f>
        <v>2</v>
      </c>
      <c r="K88" s="9">
        <f>IF(K87="DQ",0,IF(K87&lt;$D$87,0,1+COUNTIFS($E$87:$K$87,"DQ")+COUNTIFS($E$87:$K$87,"&lt;"&amp;$D$87)+COUNTIF($E$87:$K$87,"&gt;"&amp;K87)))</f>
        <v>2</v>
      </c>
      <c r="L88" s="14" cm="1">
        <f t="array" ref="L88">_xlfn.IFS(K88=4,1,K88=3,2,K88=2,3,K88=1,4,K87&lt;$D$87,"Too Fast",K87="DQ","DQ")</f>
        <v>3</v>
      </c>
      <c r="M88" s="27" t="b">
        <v>0</v>
      </c>
    </row>
    <row r="89" spans="1:13" x14ac:dyDescent="0.35">
      <c r="A89" s="2"/>
      <c r="B89" s="12" t="s">
        <v>63</v>
      </c>
      <c r="C89" s="3"/>
      <c r="D89" s="16"/>
      <c r="E89" s="19">
        <f>E68+E70+E72+E74+E76+E78+E80+E82+E84+E86+E88</f>
        <v>69</v>
      </c>
      <c r="F89" s="19"/>
      <c r="G89" s="19">
        <f t="shared" ref="G89:K89" si="33">G68+G70+G72+G74+G76+G78+G80+G82+G84+G86+G88</f>
        <v>120</v>
      </c>
      <c r="H89" s="19"/>
      <c r="I89" s="19">
        <f t="shared" si="33"/>
        <v>106</v>
      </c>
      <c r="J89" s="19"/>
      <c r="K89" s="19">
        <f t="shared" si="33"/>
        <v>102</v>
      </c>
      <c r="L89" s="18"/>
    </row>
    <row r="90" spans="1:13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>
        <v>4.2615740740740743E-4</v>
      </c>
      <c r="F90" s="29"/>
      <c r="G90" s="28">
        <v>3.9849537037037034E-4</v>
      </c>
      <c r="H90" s="29"/>
      <c r="I90" s="28">
        <v>4.2604166666666669E-4</v>
      </c>
      <c r="J90" s="29"/>
      <c r="K90" s="28">
        <v>4.3009259259259254E-4</v>
      </c>
      <c r="L90" s="29"/>
    </row>
    <row r="91" spans="1:13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2</v>
      </c>
      <c r="F91" s="14" cm="1">
        <f t="array" ref="F91">_xlfn.IFS(E91=4,1,E91=3,2,E91=2,3,E91=1,4,E90&lt;$D$90,"Too Fast",E90="DQ","DQ")</f>
        <v>3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3</v>
      </c>
      <c r="J91" s="14" cm="1">
        <f t="array" ref="J91">_xlfn.IFS(I91=4,1,I91=3,2,I91=2,3,I91=1,4,I90&lt;$D$90,"Too Fast",I90="DQ","DQ")</f>
        <v>2</v>
      </c>
      <c r="K91" s="9">
        <f>IF(K90="DQ",0,IF(K90&lt;$D$90,0,1+COUNTIFS($E$90:$K$90,"DQ")+COUNTIFS($E$90:$K$90,"&lt;"&amp;$D$90)+COUNTIF($E$90:$K$90,"&gt;"&amp;K90)))</f>
        <v>1</v>
      </c>
      <c r="L91" s="14" cm="1">
        <f t="array" ref="L91">_xlfn.IFS(K91=4,1,K91=3,2,K91=2,3,K91=1,4,K90&lt;$D$90,"Too Fast",K90="DQ","DQ")</f>
        <v>4</v>
      </c>
      <c r="M91" s="27" t="b">
        <v>0</v>
      </c>
    </row>
    <row r="92" spans="1:13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>
        <v>4.2789351851851853E-4</v>
      </c>
      <c r="F92" s="29"/>
      <c r="G92" s="28">
        <v>3.9247685185185181E-4</v>
      </c>
      <c r="H92" s="29"/>
      <c r="I92" s="28">
        <v>3.7997685185185183E-4</v>
      </c>
      <c r="J92" s="29"/>
      <c r="K92" s="28">
        <v>3.7800925925925919E-4</v>
      </c>
      <c r="L92" s="29"/>
    </row>
    <row r="93" spans="1:13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1</v>
      </c>
      <c r="F93" s="14" cm="1">
        <f t="array" ref="F93">_xlfn.IFS(E93=4,1,E93=3,2,E93=2,3,E93=1,4,E92&lt;$D$92,"Too Fast",E92="DQ","DQ")</f>
        <v>4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3</v>
      </c>
      <c r="J93" s="14" cm="1">
        <f t="array" ref="J93">_xlfn.IFS(I93=4,1,I93=3,2,I93=2,3,I93=1,4,I92&lt;$D$92,"Too Fast",I92="DQ","DQ")</f>
        <v>2</v>
      </c>
      <c r="K93" s="9">
        <f>IF(K92="DQ",0,IF(K92&lt;$D$92,0,1+COUNTIFS($E$92:$K$92,"DQ")+COUNTIFS($E$92:$K$92,"&lt;"&amp;$D$92)+COUNTIF($E$92:$K$92,"&gt;"&amp;K92)))</f>
        <v>4</v>
      </c>
      <c r="L93" s="14" cm="1">
        <f t="array" ref="L93">_xlfn.IFS(K93=4,1,K93=3,2,K93=2,3,K93=1,4,K92&lt;$D$92,"Too Fast",K92="DQ","DQ")</f>
        <v>1</v>
      </c>
      <c r="M93" s="27" t="b">
        <v>0</v>
      </c>
    </row>
    <row r="94" spans="1:13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>
        <v>8.2685185185185184E-4</v>
      </c>
      <c r="F94" s="29"/>
      <c r="G94" s="28">
        <v>7.6886574074074086E-4</v>
      </c>
      <c r="H94" s="29"/>
      <c r="I94" s="28">
        <v>7.5046296296296298E-4</v>
      </c>
      <c r="J94" s="29"/>
      <c r="K94" s="28">
        <v>7.9942129629629623E-4</v>
      </c>
      <c r="L94" s="29"/>
    </row>
    <row r="95" spans="1:13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1</v>
      </c>
      <c r="F95" s="14" cm="1">
        <f t="array" ref="F95">_xlfn.IFS(E95=4,1,E95=3,2,E95=2,3,E95=1,4,E94&lt;$D$94,"Too Fast",E94="DQ","DQ")</f>
        <v>4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  <c r="M95" s="27" t="b">
        <v>0</v>
      </c>
    </row>
    <row r="96" spans="1:13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>
        <v>7.0069444444444443E-4</v>
      </c>
      <c r="F96" s="29"/>
      <c r="G96" s="28">
        <v>6.8715277777777774E-4</v>
      </c>
      <c r="H96" s="29"/>
      <c r="I96" s="28">
        <v>6.7187499999999995E-4</v>
      </c>
      <c r="J96" s="29"/>
      <c r="K96" s="28">
        <v>6.9224537037037041E-4</v>
      </c>
      <c r="L96" s="29"/>
    </row>
    <row r="97" spans="1:13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3</v>
      </c>
      <c r="H97" s="14" cm="1">
        <f t="array" ref="H97">_xlfn.IFS(G97=4,1,G97=3,2,G97=2,3,G97=1,4,G96&lt;$D$96,"Too Fast",G96="DQ","DQ")</f>
        <v>2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  <c r="M97" s="27" t="b">
        <v>0</v>
      </c>
    </row>
    <row r="98" spans="1:13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>
        <v>2.7118055555555554E-4</v>
      </c>
      <c r="F98" s="29"/>
      <c r="G98" s="28">
        <v>2.5868055555555556E-4</v>
      </c>
      <c r="H98" s="29"/>
      <c r="I98" s="28">
        <v>2.9328703703703705E-4</v>
      </c>
      <c r="J98" s="29"/>
      <c r="K98" s="28">
        <v>2.7314814814814818E-4</v>
      </c>
      <c r="L98" s="29"/>
    </row>
    <row r="99" spans="1:13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3</v>
      </c>
      <c r="F99" s="14" cm="1">
        <f t="array" ref="F99">_xlfn.IFS(E99=4,1,E99=3,2,E99=2,3,E99=1,4,E98&lt;$D$98,"Too Fast",E98="DQ","DQ")</f>
        <v>2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1</v>
      </c>
      <c r="J99" s="14" cm="1">
        <f t="array" ref="J99">_xlfn.IFS(I99=4,1,I99=3,2,I99=2,3,I99=1,4,I98&lt;$D$98,"Too Fast",I98="DQ","DQ")</f>
        <v>4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  <c r="M99" s="27" t="b">
        <v>0</v>
      </c>
    </row>
    <row r="100" spans="1:13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>
        <v>2.434027777777778E-4</v>
      </c>
      <c r="F100" s="29"/>
      <c r="G100" s="28">
        <v>2.6435185185185182E-4</v>
      </c>
      <c r="H100" s="29"/>
      <c r="I100" s="28">
        <v>2.2916666666666666E-4</v>
      </c>
      <c r="J100" s="29"/>
      <c r="K100" s="28">
        <v>2.875E-4</v>
      </c>
      <c r="L100" s="29"/>
    </row>
    <row r="101" spans="1:13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  <c r="M101" s="27" t="b">
        <v>0</v>
      </c>
    </row>
    <row r="102" spans="1:13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>
        <v>4.918981481481481E-4</v>
      </c>
      <c r="F102" s="29"/>
      <c r="G102" s="28">
        <v>4.796296296296296E-4</v>
      </c>
      <c r="H102" s="29"/>
      <c r="I102" s="28">
        <v>4.2905092592592593E-4</v>
      </c>
      <c r="J102" s="29"/>
      <c r="K102" s="28">
        <v>4.3842592592592593E-4</v>
      </c>
      <c r="L102" s="29"/>
    </row>
    <row r="103" spans="1:13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1</v>
      </c>
      <c r="F103" s="14" cm="1">
        <f t="array" ref="F103">_xlfn.IFS(E103=4,1,E103=3,2,E103=2,3,E103=1,4,E102&lt;$D$102,"Too Fast",E102="DQ","DQ")</f>
        <v>4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4</v>
      </c>
      <c r="J103" s="14" cm="1">
        <f t="array" ref="J103">_xlfn.IFS(I103=4,1,I103=3,2,I103=2,3,I103=1,4,I102&lt;$D$102,"Too Fast",I102="DQ","DQ")</f>
        <v>1</v>
      </c>
      <c r="K103" s="9">
        <f>IF(K102="DQ",0,IF(K102&lt;$D$102,0,1+COUNTIFS($E$102:$K$102,"DQ")+COUNTIFS($E$102:$K$102,"&lt;"&amp;$D$102)+COUNTIF($E$102:$K$102,"&gt;"&amp;K102)))</f>
        <v>3</v>
      </c>
      <c r="L103" s="14" cm="1">
        <f t="array" ref="L103">_xlfn.IFS(K103=4,1,K103=3,2,K103=2,3,K103=1,4,K102&lt;$D$102,"Too Fast",K102="DQ","DQ")</f>
        <v>2</v>
      </c>
      <c r="M103" s="27" t="b">
        <v>0</v>
      </c>
    </row>
    <row r="104" spans="1:13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>
        <v>4.2974537037037043E-4</v>
      </c>
      <c r="F104" s="29"/>
      <c r="G104" s="28">
        <v>4.2499999999999998E-4</v>
      </c>
      <c r="H104" s="29"/>
      <c r="I104" s="28">
        <v>5.2719907407407403E-4</v>
      </c>
      <c r="J104" s="29"/>
      <c r="K104" s="28">
        <v>4.8217592592592588E-4</v>
      </c>
      <c r="L104" s="29"/>
    </row>
    <row r="105" spans="1:13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1</v>
      </c>
      <c r="J105" s="14" cm="1">
        <f t="array" ref="J105">_xlfn.IFS(I105=4,1,I105=3,2,I105=2,3,I105=1,4,I104&lt;$D$104,"Too Fast",I104="DQ","DQ")</f>
        <v>4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  <c r="M105" s="27" t="b">
        <v>0</v>
      </c>
    </row>
    <row r="106" spans="1:13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>
        <v>1.5997685185185186E-3</v>
      </c>
      <c r="F106" s="29"/>
      <c r="G106" s="28">
        <v>1.4734953703703705E-3</v>
      </c>
      <c r="H106" s="29"/>
      <c r="I106" s="28">
        <v>1.5033564814814814E-3</v>
      </c>
      <c r="J106" s="29"/>
      <c r="K106" s="28">
        <v>1.4858796296296295E-3</v>
      </c>
      <c r="L106" s="29"/>
    </row>
    <row r="107" spans="1:13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4</v>
      </c>
      <c r="H107" s="14" cm="1">
        <f t="array" ref="H107">_xlfn.IFS(G107=4,1,G107=3,2,G107=2,3,G107=1,4,G106&lt;$D$106,"Too Fast",G106="DQ","DQ")</f>
        <v>1</v>
      </c>
      <c r="I107" s="9">
        <f>IF(I106="DQ",0,IF(I106&lt;$D$106,0,1+COUNTIFS($E$106:$K$106,"DQ")+COUNTIFS($E$106:$K$106,"&lt;"&amp;$D$106)+COUNTIF($E$106:$K$106,"&gt;"&amp;I106)))</f>
        <v>2</v>
      </c>
      <c r="J107" s="14" cm="1">
        <f t="array" ref="J107">_xlfn.IFS(I107=4,1,I107=3,2,I107=2,3,I107=1,4,I106&lt;$D$106,"Too Fast",I106="DQ","DQ")</f>
        <v>3</v>
      </c>
      <c r="K107" s="9">
        <f>IF(K106="DQ",0,IF(K106&lt;$D$106,0,1+COUNTIFS($E$106:$K$106,"DQ")+COUNTIFS($E$106:$K$106,"&lt;"&amp;$D$106)+COUNTIF($E$106:$K$106,"&gt;"&amp;K106)))</f>
        <v>3</v>
      </c>
      <c r="L107" s="14" cm="1">
        <f t="array" ref="L107">_xlfn.IFS(K107=4,1,K107=3,2,K107=2,3,K107=1,4,K106&lt;$D$106,"Too Fast",K106="DQ","DQ")</f>
        <v>2</v>
      </c>
      <c r="M107" s="27" t="b">
        <v>0</v>
      </c>
    </row>
    <row r="108" spans="1:13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>
        <v>1.4854166666666668E-3</v>
      </c>
      <c r="F108" s="29"/>
      <c r="G108" s="28">
        <v>1.4333333333333333E-3</v>
      </c>
      <c r="H108" s="29"/>
      <c r="I108" s="28">
        <v>1.4086805555555554E-3</v>
      </c>
      <c r="J108" s="29"/>
      <c r="K108" s="28">
        <v>1.3773148148148147E-3</v>
      </c>
      <c r="L108" s="29"/>
    </row>
    <row r="109" spans="1:13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2</v>
      </c>
      <c r="H109" s="14" cm="1">
        <f t="array" ref="H109">_xlfn.IFS(G109=4,1,G109=3,2,G109=2,3,G109=1,4,G108&lt;$D$108,"Too Fast",G108="DQ","DQ")</f>
        <v>3</v>
      </c>
      <c r="I109" s="9">
        <f>IF(I108="DQ",0,IF(I108&lt;$D$108,0,1+COUNTIFS($E$108:$K$108,"DQ")+COUNTIFS($E$108:$K$108,"&lt;"&amp;$D$108)+COUNTIF($E$108:$K$108,"&gt;"&amp;I108)))</f>
        <v>3</v>
      </c>
      <c r="J109" s="14" cm="1">
        <f t="array" ref="J109">_xlfn.IFS(I109=4,1,I109=3,2,I109=2,3,I109=1,4,I108&lt;$D$108,"Too Fast",I108="DQ","DQ")</f>
        <v>2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  <c r="M109" s="27" t="b">
        <v>0</v>
      </c>
    </row>
    <row r="110" spans="1:13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>
        <v>1.479050925925926E-3</v>
      </c>
      <c r="F110" s="29"/>
      <c r="G110" s="28">
        <v>1.4731481481481481E-3</v>
      </c>
      <c r="H110" s="29"/>
      <c r="I110" s="28">
        <v>1.4653935185185184E-3</v>
      </c>
      <c r="J110" s="29"/>
      <c r="K110" s="28">
        <v>1.5386574074074074E-3</v>
      </c>
      <c r="L110" s="29"/>
    </row>
    <row r="111" spans="1:13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  <c r="M111" s="27" t="b">
        <v>0</v>
      </c>
    </row>
    <row r="112" spans="1:13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>
        <v>1.3092592592592594E-3</v>
      </c>
      <c r="F112" s="29"/>
      <c r="G112" s="28">
        <v>1.2452546296296296E-3</v>
      </c>
      <c r="H112" s="29"/>
      <c r="I112" s="28">
        <v>1.2768518518518517E-3</v>
      </c>
      <c r="J112" s="29"/>
      <c r="K112" s="28">
        <v>1.297337962962963E-3</v>
      </c>
      <c r="L112" s="29"/>
    </row>
    <row r="113" spans="1:13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4</v>
      </c>
      <c r="H113" s="14" cm="1">
        <f t="array" ref="H113">_xlfn.IFS(G113=4,1,G113=3,2,G113=2,3,G113=1,4,G112&lt;$D$112,"Too Fast",G112="DQ","DQ")</f>
        <v>1</v>
      </c>
      <c r="I113" s="9">
        <f>IF(I112="DQ",0,IF(I112&lt;$D$112,0,1+COUNTIFS($E$112:$K$112,"DQ")+COUNTIFS($E$112:$K$112,"&lt;"&amp;$D$112)+COUNTIF($E$112:$K$112,"&gt;"&amp;I112)))</f>
        <v>3</v>
      </c>
      <c r="J113" s="14" cm="1">
        <f t="array" ref="J113">_xlfn.IFS(I113=4,1,I113=3,2,I113=2,3,I113=1,4,I112&lt;$D$112,"Too Fast",I112="DQ","DQ")</f>
        <v>2</v>
      </c>
      <c r="K113" s="9">
        <f>IF(K112="DQ",0,IF(K112&lt;$D$112,0,1+COUNTIFS($E$112:$K$112,"DQ")+COUNTIFS($E$112:$K$112,"&lt;"&amp;$D$112)+COUNTIF($E$112:$K$112,"&gt;"&amp;K112)))</f>
        <v>2</v>
      </c>
      <c r="L113" s="14" cm="1">
        <f t="array" ref="L113">_xlfn.IFS(K113=4,1,K113=3,2,K113=2,3,K113=1,4,K112&lt;$D$112,"Too Fast",K112="DQ","DQ")</f>
        <v>3</v>
      </c>
      <c r="M113" s="27" t="b">
        <v>0</v>
      </c>
    </row>
    <row r="114" spans="1:13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>
        <v>1.4246527777777777E-3</v>
      </c>
      <c r="F114" s="29"/>
      <c r="G114" s="28">
        <v>1.3758101851851852E-3</v>
      </c>
      <c r="H114" s="29"/>
      <c r="I114" s="28">
        <v>1.3931712962962964E-3</v>
      </c>
      <c r="J114" s="29"/>
      <c r="K114" s="28">
        <v>1.415625E-3</v>
      </c>
      <c r="L114" s="29"/>
    </row>
    <row r="115" spans="1:13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1</v>
      </c>
      <c r="F115" s="14" cm="1">
        <f t="array" ref="F115">_xlfn.IFS(E115=4,1,E115=3,2,E115=2,3,E115=1,4,E114&lt;$D$114,"Too Fast",E114="DQ","DQ")</f>
        <v>4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2</v>
      </c>
      <c r="L115" s="14" cm="1">
        <f t="array" ref="L115">_xlfn.IFS(K115=4,1,K115=3,2,K115=2,3,K115=1,4,K114&lt;$D$114,"Too Fast",K114="DQ","DQ")</f>
        <v>3</v>
      </c>
      <c r="M115" s="27" t="b">
        <v>0</v>
      </c>
    </row>
    <row r="116" spans="1:13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90</v>
      </c>
      <c r="F116" s="19"/>
      <c r="G116" s="19">
        <f t="shared" ref="G116:K116" si="34">G89+G91+G93+G95+G97+G99+G101+G103+G105+G107+G109+G111+G113+G115</f>
        <v>161</v>
      </c>
      <c r="H116" s="19"/>
      <c r="I116" s="19">
        <f t="shared" si="34"/>
        <v>145</v>
      </c>
      <c r="J116" s="19"/>
      <c r="K116" s="19">
        <f t="shared" si="34"/>
        <v>131</v>
      </c>
      <c r="L116" s="1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32" priority="3" operator="containsText" text="dns">
      <formula>NOT(ISERROR(SEARCH("dns",E6)))</formula>
    </cfRule>
    <cfRule type="containsText" dxfId="31" priority="4" operator="containsText" text="02;">
      <formula>NOT(ISERROR(SEARCH("02;",E6)))</formula>
    </cfRule>
    <cfRule type="containsText" dxfId="30" priority="5" operator="containsText" text="01;">
      <formula>NOT(ISERROR(SEARCH("01;",E6)))</formula>
    </cfRule>
    <cfRule type="containsText" dxfId="29" priority="6" operator="containsText" text="00;">
      <formula>NOT(ISERROR(SEARCH("00;",E6)))</formula>
    </cfRule>
    <cfRule type="containsText" dxfId="28" priority="11" operator="containsText" text="02.">
      <formula>NOT(ISERROR(SEARCH("02.",E6)))</formula>
    </cfRule>
    <cfRule type="containsText" dxfId="27" priority="12" operator="containsText" text="01.">
      <formula>NOT(ISERROR(SEARCH("01.",E6)))</formula>
    </cfRule>
    <cfRule type="containsText" dxfId="26" priority="13" operator="containsText" text="00.">
      <formula>NOT(ISERROR(SEARCH("00.",E6)))</formula>
    </cfRule>
  </conditionalFormatting>
  <conditionalFormatting sqref="M1:M1048576">
    <cfRule type="containsText" dxfId="25" priority="1" operator="containsText" text="TRUE">
      <formula>NOT(ISERROR(SEARCH("TRUE",M1)))</formula>
    </cfRule>
    <cfRule type="containsText" dxfId="2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E5" sqref="E5:L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4" width="10.08984375" customWidth="1"/>
    <col min="15" max="16" width="3.453125" customWidth="1"/>
    <col min="17" max="17" width="14.36328125" customWidth="1"/>
    <col min="18" max="18" width="24" customWidth="1"/>
    <col min="19" max="19" width="9.54296875" bestFit="1" customWidth="1"/>
    <col min="20" max="24" width="11.36328125" bestFit="1" customWidth="1"/>
    <col min="27" max="27" width="12" customWidth="1"/>
  </cols>
  <sheetData>
    <row r="1" spans="1:27" ht="18.5" x14ac:dyDescent="0.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7" x14ac:dyDescent="0.35">
      <c r="Q2" s="31" t="s">
        <v>1</v>
      </c>
      <c r="R2" s="35"/>
      <c r="S2" s="35"/>
      <c r="T2" s="35"/>
      <c r="U2" s="35"/>
      <c r="V2" s="35"/>
      <c r="W2" s="35"/>
      <c r="X2" s="18"/>
      <c r="Y2" s="18"/>
      <c r="Z2" s="18"/>
      <c r="AA2" s="18"/>
    </row>
    <row r="3" spans="1:27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K3" s="33" t="s">
        <v>82</v>
      </c>
      <c r="L3" s="33"/>
      <c r="M3" s="33" t="s">
        <v>85</v>
      </c>
      <c r="N3" s="33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7"/>
      <c r="B4" s="37"/>
      <c r="C4" s="37"/>
      <c r="D4" s="37"/>
      <c r="E4" s="38" t="s">
        <v>9</v>
      </c>
      <c r="F4" s="39"/>
      <c r="G4" s="38" t="s">
        <v>9</v>
      </c>
      <c r="H4" s="39"/>
      <c r="I4" s="38" t="s">
        <v>9</v>
      </c>
      <c r="J4" s="39"/>
      <c r="K4" s="38" t="s">
        <v>9</v>
      </c>
      <c r="L4" s="39"/>
      <c r="M4" s="38" t="s">
        <v>9</v>
      </c>
      <c r="N4" s="39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3" t="s">
        <v>14</v>
      </c>
      <c r="L5" s="33"/>
      <c r="M5" s="33" t="s">
        <v>14</v>
      </c>
      <c r="N5" s="33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23" priority="1" operator="containsText" text="02.">
      <formula>NOT(ISERROR(SEARCH("02.",E6)))</formula>
    </cfRule>
    <cfRule type="containsText" dxfId="22" priority="2" operator="containsText" text="01.">
      <formula>NOT(ISERROR(SEARCH("01.",E6)))</formula>
    </cfRule>
    <cfRule type="containsText" dxfId="21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Q7" sqref="Q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6" width="10.08984375" customWidth="1"/>
    <col min="17" max="18" width="3.453125" customWidth="1"/>
    <col min="19" max="19" width="14.36328125" customWidth="1"/>
    <col min="20" max="20" width="24" customWidth="1"/>
    <col min="21" max="21" width="9.54296875" bestFit="1" customWidth="1"/>
    <col min="22" max="27" width="10.6328125" bestFit="1" customWidth="1"/>
    <col min="30" max="30" width="11.54296875" customWidth="1"/>
  </cols>
  <sheetData>
    <row r="1" spans="1:30" ht="18.5" x14ac:dyDescent="0.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30" x14ac:dyDescent="0.35">
      <c r="S2" s="31" t="s">
        <v>1</v>
      </c>
      <c r="T2" s="35"/>
      <c r="U2" s="35"/>
      <c r="V2" s="35"/>
      <c r="W2" s="35"/>
      <c r="X2" s="35"/>
      <c r="Y2" s="35"/>
      <c r="Z2" s="35"/>
      <c r="AA2" s="2"/>
      <c r="AB2" s="2"/>
      <c r="AC2" s="2"/>
      <c r="AD2" s="18"/>
    </row>
    <row r="3" spans="1:30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K3" s="33" t="s">
        <v>82</v>
      </c>
      <c r="L3" s="33"/>
      <c r="M3" s="33" t="s">
        <v>85</v>
      </c>
      <c r="N3" s="33"/>
      <c r="O3" s="33" t="s">
        <v>87</v>
      </c>
      <c r="P3" s="33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7"/>
      <c r="B4" s="37"/>
      <c r="C4" s="37"/>
      <c r="D4" s="37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3" t="s">
        <v>14</v>
      </c>
      <c r="L5" s="33"/>
      <c r="M5" s="33" t="s">
        <v>14</v>
      </c>
      <c r="N5" s="33"/>
      <c r="O5" s="33" t="s">
        <v>14</v>
      </c>
      <c r="P5" s="33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Q7" s="27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Q9" s="27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  <c r="Q11" s="27" t="b">
        <v>0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  <c r="Q13" s="27" t="b">
        <v>0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  <c r="Q15" s="27" t="b">
        <v>0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7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  <c r="Q17" s="27" t="b">
        <v>0</v>
      </c>
    </row>
    <row r="18" spans="1:17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7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  <c r="Q19" s="27" t="b">
        <v>0</v>
      </c>
    </row>
    <row r="20" spans="1:17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7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  <c r="Q21" s="27" t="b">
        <v>0</v>
      </c>
    </row>
    <row r="22" spans="1:17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7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  <c r="Q23" s="27" t="b">
        <v>0</v>
      </c>
    </row>
    <row r="24" spans="1:17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7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  <c r="Q25" s="27" t="b">
        <v>0</v>
      </c>
    </row>
    <row r="26" spans="1:17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7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7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  <c r="Q28" s="27" t="b">
        <v>0</v>
      </c>
    </row>
    <row r="29" spans="1:17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7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  <c r="Q30" s="27" t="b">
        <v>0</v>
      </c>
    </row>
    <row r="31" spans="1:17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</row>
    <row r="32" spans="1:17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  <c r="Q32" s="27" t="b">
        <v>0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  <c r="Q34" s="27" t="b">
        <v>0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  <c r="Q36" s="27" t="b">
        <v>0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  <c r="Q38" s="27" t="b">
        <v>0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  <c r="Q40" s="27" t="b">
        <v>0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  <c r="Q42" s="27" t="b">
        <v>0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Q44" s="27" t="b">
        <v>0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Q46" s="27" t="b">
        <v>0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Q49" s="27" t="b">
        <v>0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Q51" s="27" t="b">
        <v>0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Q53" s="27" t="b">
        <v>0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Q55" s="27" t="b">
        <v>0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Q57" s="27" t="b">
        <v>0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Q59" s="27" t="b">
        <v>0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Q61" s="27" t="b">
        <v>0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Q63" s="27" t="b">
        <v>0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Q65" s="27" t="b">
        <v>0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Q67" s="27" t="b">
        <v>0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Q70" s="27" t="b">
        <v>0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Q72" s="27" t="b">
        <v>0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Q74" s="27" t="b">
        <v>0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  <c r="Q76" s="27" t="b">
        <v>0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  <c r="Q78" s="27" t="b">
        <v>0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  <c r="Q80" s="27" t="b">
        <v>0</v>
      </c>
    </row>
    <row r="81" spans="1:17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</row>
    <row r="82" spans="1:17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  <c r="Q82" s="27" t="b">
        <v>0</v>
      </c>
    </row>
    <row r="83" spans="1:17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</row>
    <row r="84" spans="1:17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  <c r="Q84" s="27" t="b">
        <v>0</v>
      </c>
    </row>
    <row r="85" spans="1:17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</row>
    <row r="86" spans="1:17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  <c r="Q86" s="27" t="b">
        <v>0</v>
      </c>
    </row>
    <row r="87" spans="1:17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</row>
    <row r="88" spans="1:17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  <c r="Q88" s="27" t="b">
        <v>0</v>
      </c>
    </row>
    <row r="89" spans="1:17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7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</row>
    <row r="91" spans="1:17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  <c r="Q91" s="27" t="b">
        <v>0</v>
      </c>
    </row>
    <row r="92" spans="1:17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</row>
    <row r="93" spans="1:17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  <c r="Q93" s="27" t="b">
        <v>0</v>
      </c>
    </row>
    <row r="94" spans="1:17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</row>
    <row r="95" spans="1:17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  <c r="Q95" s="27" t="b">
        <v>0</v>
      </c>
    </row>
    <row r="96" spans="1:17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</row>
    <row r="97" spans="1:17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  <c r="Q97" s="27" t="b">
        <v>0</v>
      </c>
    </row>
    <row r="98" spans="1:17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</row>
    <row r="99" spans="1:17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  <c r="Q99" s="27" t="b">
        <v>0</v>
      </c>
    </row>
    <row r="100" spans="1:17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</row>
    <row r="101" spans="1:17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  <c r="Q101" s="27" t="b">
        <v>0</v>
      </c>
    </row>
    <row r="102" spans="1:17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</row>
    <row r="103" spans="1:17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  <c r="Q103" s="27" t="b">
        <v>0</v>
      </c>
    </row>
    <row r="104" spans="1:17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</row>
    <row r="105" spans="1:17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  <c r="Q105" s="27" t="b">
        <v>0</v>
      </c>
    </row>
    <row r="106" spans="1:17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</row>
    <row r="107" spans="1:17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  <c r="Q107" s="27" t="b">
        <v>0</v>
      </c>
    </row>
    <row r="108" spans="1:17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</row>
    <row r="109" spans="1:17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  <c r="Q109" s="27" t="b">
        <v>0</v>
      </c>
    </row>
    <row r="110" spans="1:17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</row>
    <row r="111" spans="1:17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  <c r="Q111" s="27" t="b">
        <v>0</v>
      </c>
    </row>
    <row r="112" spans="1:17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</row>
    <row r="113" spans="1:17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  <c r="Q113" s="27" t="b">
        <v>0</v>
      </c>
    </row>
    <row r="114" spans="1:17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</row>
    <row r="115" spans="1:17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  <c r="Q115" s="27" t="b">
        <v>0</v>
      </c>
    </row>
    <row r="116" spans="1:17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8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Q1:Q1048576">
    <cfRule type="containsText" dxfId="13" priority="1" operator="containsText" text="TRUE">
      <formula>NOT(ISERROR(SEARCH("TRUE",Q1)))</formula>
    </cfRule>
    <cfRule type="containsText" dxfId="12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8" width="10.08984375" customWidth="1"/>
    <col min="19" max="20" width="3.453125" customWidth="1"/>
    <col min="21" max="21" width="14.36328125" customWidth="1"/>
    <col min="22" max="22" width="24" customWidth="1"/>
    <col min="23" max="23" width="9.54296875" bestFit="1" customWidth="1"/>
    <col min="24" max="24" width="10.453125" bestFit="1" customWidth="1"/>
    <col min="25" max="31" width="10.6328125" bestFit="1" customWidth="1"/>
    <col min="33" max="33" width="12.36328125" customWidth="1"/>
  </cols>
  <sheetData>
    <row r="1" spans="1:33" ht="18.5" x14ac:dyDescent="0.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33" x14ac:dyDescent="0.35">
      <c r="U2" s="33" t="s">
        <v>1</v>
      </c>
      <c r="V2" s="33"/>
      <c r="W2" s="33"/>
      <c r="X2" s="33"/>
      <c r="Y2" s="33"/>
      <c r="Z2" s="33"/>
      <c r="AA2" s="33"/>
      <c r="AB2" s="33"/>
      <c r="AC2" s="33"/>
      <c r="AD2" s="33"/>
      <c r="AE2" s="18"/>
      <c r="AF2" s="18"/>
      <c r="AG2" s="2"/>
    </row>
    <row r="3" spans="1:33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K3" s="33" t="s">
        <v>82</v>
      </c>
      <c r="L3" s="33"/>
      <c r="M3" s="33" t="s">
        <v>85</v>
      </c>
      <c r="N3" s="33"/>
      <c r="O3" s="33" t="s">
        <v>87</v>
      </c>
      <c r="P3" s="33"/>
      <c r="Q3" s="33" t="s">
        <v>89</v>
      </c>
      <c r="R3" s="33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7"/>
      <c r="B4" s="37"/>
      <c r="C4" s="37"/>
      <c r="D4" s="37"/>
      <c r="E4" s="38" t="s">
        <v>9</v>
      </c>
      <c r="F4" s="39"/>
      <c r="G4" s="38" t="s">
        <v>9</v>
      </c>
      <c r="H4" s="39"/>
      <c r="I4" s="38" t="s">
        <v>9</v>
      </c>
      <c r="J4" s="39"/>
      <c r="K4" s="38" t="s">
        <v>9</v>
      </c>
      <c r="L4" s="39"/>
      <c r="M4" s="38" t="s">
        <v>9</v>
      </c>
      <c r="N4" s="39"/>
      <c r="O4" s="38" t="s">
        <v>9</v>
      </c>
      <c r="P4" s="39"/>
      <c r="Q4" s="38" t="s">
        <v>9</v>
      </c>
      <c r="R4" s="39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3" t="s">
        <v>14</v>
      </c>
      <c r="L5" s="33"/>
      <c r="M5" s="33" t="s">
        <v>14</v>
      </c>
      <c r="N5" s="33"/>
      <c r="O5" s="33" t="s">
        <v>14</v>
      </c>
      <c r="P5" s="33"/>
      <c r="Q5" s="33" t="s">
        <v>14</v>
      </c>
      <c r="R5" s="33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Q6" s="28"/>
      <c r="R6" s="29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8"/>
      <c r="F50" s="29"/>
      <c r="G50" s="28"/>
      <c r="H50" s="29"/>
      <c r="I50" s="28"/>
      <c r="J50" s="29"/>
      <c r="K50" s="28"/>
      <c r="L50" s="29"/>
      <c r="M50" s="28"/>
      <c r="N50" s="29"/>
      <c r="O50" s="28"/>
      <c r="P50" s="29"/>
      <c r="Q50" s="28"/>
      <c r="R50" s="29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8"/>
      <c r="F52" s="29"/>
      <c r="G52" s="28"/>
      <c r="H52" s="29"/>
      <c r="I52" s="28"/>
      <c r="J52" s="29"/>
      <c r="K52" s="28"/>
      <c r="L52" s="29"/>
      <c r="M52" s="28"/>
      <c r="N52" s="29"/>
      <c r="O52" s="28"/>
      <c r="P52" s="29"/>
      <c r="Q52" s="28"/>
      <c r="R52" s="29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8"/>
      <c r="F54" s="29"/>
      <c r="G54" s="28"/>
      <c r="H54" s="29"/>
      <c r="I54" s="28"/>
      <c r="J54" s="29"/>
      <c r="K54" s="28"/>
      <c r="L54" s="29"/>
      <c r="M54" s="28"/>
      <c r="N54" s="29"/>
      <c r="O54" s="28"/>
      <c r="P54" s="29"/>
      <c r="Q54" s="28"/>
      <c r="R54" s="29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8"/>
      <c r="F56" s="29"/>
      <c r="G56" s="28"/>
      <c r="H56" s="29"/>
      <c r="I56" s="28"/>
      <c r="J56" s="29"/>
      <c r="K56" s="28"/>
      <c r="L56" s="29"/>
      <c r="M56" s="28"/>
      <c r="N56" s="29"/>
      <c r="O56" s="28"/>
      <c r="P56" s="29"/>
      <c r="Q56" s="28"/>
      <c r="R56" s="29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8"/>
      <c r="F58" s="29"/>
      <c r="G58" s="28"/>
      <c r="H58" s="29"/>
      <c r="I58" s="28"/>
      <c r="J58" s="29"/>
      <c r="K58" s="28"/>
      <c r="L58" s="29"/>
      <c r="M58" s="28"/>
      <c r="N58" s="29"/>
      <c r="O58" s="28"/>
      <c r="P58" s="29"/>
      <c r="Q58" s="28"/>
      <c r="R58" s="29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8"/>
      <c r="F60" s="29"/>
      <c r="G60" s="28"/>
      <c r="H60" s="29"/>
      <c r="I60" s="28"/>
      <c r="J60" s="29"/>
      <c r="K60" s="28"/>
      <c r="L60" s="29"/>
      <c r="M60" s="28"/>
      <c r="N60" s="29"/>
      <c r="O60" s="28"/>
      <c r="P60" s="29"/>
      <c r="Q60" s="28"/>
      <c r="R60" s="29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8"/>
      <c r="F62" s="29"/>
      <c r="G62" s="28"/>
      <c r="H62" s="29"/>
      <c r="I62" s="28"/>
      <c r="J62" s="29"/>
      <c r="K62" s="28"/>
      <c r="L62" s="29"/>
      <c r="M62" s="28"/>
      <c r="N62" s="29"/>
      <c r="O62" s="28"/>
      <c r="P62" s="29"/>
      <c r="Q62" s="28"/>
      <c r="R62" s="29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8"/>
      <c r="F64" s="29"/>
      <c r="G64" s="28"/>
      <c r="H64" s="29"/>
      <c r="I64" s="28"/>
      <c r="J64" s="29"/>
      <c r="K64" s="28"/>
      <c r="L64" s="29"/>
      <c r="M64" s="28"/>
      <c r="N64" s="29"/>
      <c r="O64" s="28"/>
      <c r="P64" s="29"/>
      <c r="Q64" s="28"/>
      <c r="R64" s="29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8"/>
      <c r="F66" s="29"/>
      <c r="G66" s="28"/>
      <c r="H66" s="29"/>
      <c r="I66" s="28"/>
      <c r="J66" s="29"/>
      <c r="K66" s="28"/>
      <c r="L66" s="29"/>
      <c r="M66" s="28"/>
      <c r="N66" s="29"/>
      <c r="O66" s="28"/>
      <c r="P66" s="29"/>
      <c r="Q66" s="28"/>
      <c r="R66" s="29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11" priority="1" operator="containsText" text="02.">
      <formula>NOT(ISERROR(SEARCH("02.",E6)))</formula>
    </cfRule>
    <cfRule type="containsText" dxfId="10" priority="2" operator="containsText" text="01.">
      <formula>NOT(ISERROR(SEARCH("01.",E6)))</formula>
    </cfRule>
    <cfRule type="containsText" dxfId="9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topLeftCell="C1" zoomScale="61" workbookViewId="0">
      <selection activeCell="U7" sqref="U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20" width="10.08984375" customWidth="1"/>
    <col min="21" max="22" width="3.453125" customWidth="1"/>
    <col min="23" max="23" width="14.36328125" customWidth="1"/>
    <col min="24" max="24" width="24" customWidth="1"/>
    <col min="25" max="25" width="9.54296875" bestFit="1" customWidth="1"/>
    <col min="26" max="26" width="10.453125" bestFit="1" customWidth="1"/>
    <col min="27" max="34" width="11.36328125" bestFit="1" customWidth="1"/>
    <col min="36" max="36" width="12" customWidth="1"/>
  </cols>
  <sheetData>
    <row r="1" spans="1:36" ht="18.5" x14ac:dyDescent="0.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36" x14ac:dyDescent="0.35">
      <c r="W2" s="31" t="s">
        <v>1</v>
      </c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2"/>
      <c r="AI2" s="18"/>
      <c r="AJ2" s="18"/>
    </row>
    <row r="3" spans="1:36" x14ac:dyDescent="0.35">
      <c r="A3" s="36"/>
      <c r="B3" s="36"/>
      <c r="C3" s="36"/>
      <c r="D3" s="36"/>
      <c r="E3" s="31" t="s">
        <v>2</v>
      </c>
      <c r="F3" s="32"/>
      <c r="G3" s="31" t="s">
        <v>3</v>
      </c>
      <c r="H3" s="32"/>
      <c r="I3" s="31" t="s">
        <v>78</v>
      </c>
      <c r="J3" s="32"/>
      <c r="K3" s="33" t="s">
        <v>82</v>
      </c>
      <c r="L3" s="33"/>
      <c r="M3" s="33" t="s">
        <v>85</v>
      </c>
      <c r="N3" s="33"/>
      <c r="O3" s="33" t="s">
        <v>87</v>
      </c>
      <c r="P3" s="33"/>
      <c r="Q3" s="33" t="s">
        <v>89</v>
      </c>
      <c r="R3" s="33"/>
      <c r="S3" s="33" t="s">
        <v>91</v>
      </c>
      <c r="T3" s="33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7"/>
      <c r="B4" s="37"/>
      <c r="C4" s="37"/>
      <c r="D4" s="37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Q4" s="40" t="s">
        <v>9</v>
      </c>
      <c r="R4" s="41"/>
      <c r="S4" s="40" t="s">
        <v>9</v>
      </c>
      <c r="T4" s="4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31" t="s">
        <v>14</v>
      </c>
      <c r="F5" s="32"/>
      <c r="G5" s="31" t="s">
        <v>14</v>
      </c>
      <c r="H5" s="32"/>
      <c r="I5" s="31" t="s">
        <v>14</v>
      </c>
      <c r="J5" s="32"/>
      <c r="K5" s="33" t="s">
        <v>14</v>
      </c>
      <c r="L5" s="33"/>
      <c r="M5" s="33" t="s">
        <v>14</v>
      </c>
      <c r="N5" s="33"/>
      <c r="O5" s="33" t="s">
        <v>14</v>
      </c>
      <c r="P5" s="33"/>
      <c r="Q5" s="33" t="s">
        <v>14</v>
      </c>
      <c r="R5" s="33"/>
      <c r="S5" s="33" t="s">
        <v>14</v>
      </c>
      <c r="T5" s="33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8"/>
      <c r="F6" s="29"/>
      <c r="G6" s="28"/>
      <c r="H6" s="29"/>
      <c r="I6" s="28"/>
      <c r="J6" s="29"/>
      <c r="K6" s="28"/>
      <c r="L6" s="29"/>
      <c r="M6" s="28"/>
      <c r="N6" s="29"/>
      <c r="O6" s="28"/>
      <c r="P6" s="29"/>
      <c r="Q6" s="28"/>
      <c r="R6" s="29"/>
      <c r="S6" s="28"/>
      <c r="T6" s="29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U7" s="27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S8" s="28"/>
      <c r="T8" s="29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U9" s="27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U11" s="27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  <c r="U13" s="27" t="b">
        <v>0</v>
      </c>
    </row>
    <row r="14" spans="1:36" x14ac:dyDescent="0.35">
      <c r="A14" s="5">
        <v>5</v>
      </c>
      <c r="B14" s="10" t="s">
        <v>93</v>
      </c>
      <c r="C14" s="2" t="s">
        <v>25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  <c r="U15" s="27" t="b">
        <v>0</v>
      </c>
    </row>
    <row r="16" spans="1:36" x14ac:dyDescent="0.35">
      <c r="A16" s="5">
        <v>6</v>
      </c>
      <c r="B16" s="10" t="s">
        <v>94</v>
      </c>
      <c r="C16" s="2" t="s">
        <v>25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1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  <c r="U17" s="27" t="b">
        <v>0</v>
      </c>
    </row>
    <row r="18" spans="1:21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1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  <c r="U19" s="27" t="b">
        <v>0</v>
      </c>
    </row>
    <row r="20" spans="1:21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1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  <c r="U21" s="27" t="b">
        <v>0</v>
      </c>
    </row>
    <row r="22" spans="1:21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1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  <c r="U23" s="27" t="b">
        <v>0</v>
      </c>
    </row>
    <row r="24" spans="1:21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1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  <c r="U25" s="27" t="b">
        <v>0</v>
      </c>
    </row>
    <row r="26" spans="1:21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1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1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  <c r="U28" s="27" t="b">
        <v>0</v>
      </c>
    </row>
    <row r="29" spans="1:21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28"/>
      <c r="H29" s="29"/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</row>
    <row r="30" spans="1:21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  <c r="U30" s="27" t="b">
        <v>0</v>
      </c>
    </row>
    <row r="31" spans="1:21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</row>
    <row r="32" spans="1:21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  <c r="U32" s="27" t="b">
        <v>0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  <c r="U34" s="27" t="b">
        <v>0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  <c r="U36" s="27" t="b">
        <v>0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  <c r="U38" s="27" t="b">
        <v>0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  <c r="U40" s="27" t="b">
        <v>0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  <c r="U42" s="27" t="b">
        <v>0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  <c r="U44" s="27" t="b">
        <v>0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U46" s="27" t="b">
        <v>0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95</v>
      </c>
      <c r="C48" s="2" t="s">
        <v>25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U49" s="27" t="b">
        <v>0</v>
      </c>
      <c r="Z49" s="24"/>
    </row>
    <row r="50" spans="1:26" x14ac:dyDescent="0.35">
      <c r="A50" s="5">
        <v>22</v>
      </c>
      <c r="B50" s="10" t="s">
        <v>96</v>
      </c>
      <c r="C50" s="2" t="s">
        <v>25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U51" s="27" t="b">
        <v>0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U53" s="27" t="b">
        <v>0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U55" s="27" t="b">
        <v>0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U57" s="27" t="b">
        <v>0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U59" s="27" t="b">
        <v>0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U61" s="27" t="b">
        <v>0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U63" s="27" t="b">
        <v>0</v>
      </c>
      <c r="Z63" s="24"/>
    </row>
    <row r="64" spans="1:26" x14ac:dyDescent="0.35">
      <c r="A64" s="5">
        <v>29</v>
      </c>
      <c r="B64" s="10" t="s">
        <v>97</v>
      </c>
      <c r="C64" s="2" t="s">
        <v>25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U65" s="27" t="b">
        <v>0</v>
      </c>
      <c r="Z65" s="24"/>
    </row>
    <row r="66" spans="1:26" x14ac:dyDescent="0.35">
      <c r="A66" s="5">
        <v>30</v>
      </c>
      <c r="B66" s="10" t="s">
        <v>98</v>
      </c>
      <c r="C66" s="2" t="s">
        <v>25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U67" s="27" t="b">
        <v>0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U70" s="27" t="b">
        <v>0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U72" s="27" t="b">
        <v>0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U74" s="27" t="b">
        <v>0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U76" s="27" t="b">
        <v>0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  <c r="U78" s="27" t="b">
        <v>0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  <c r="U80" s="27" t="b">
        <v>0</v>
      </c>
    </row>
    <row r="81" spans="1:21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</row>
    <row r="82" spans="1:21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  <c r="U82" s="27" t="b">
        <v>0</v>
      </c>
    </row>
    <row r="83" spans="1:21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</row>
    <row r="84" spans="1:21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  <c r="U84" s="27" t="b">
        <v>0</v>
      </c>
    </row>
    <row r="85" spans="1:21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</row>
    <row r="86" spans="1:21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  <c r="U86" s="27" t="b">
        <v>0</v>
      </c>
    </row>
    <row r="87" spans="1:21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</row>
    <row r="88" spans="1:21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  <c r="U88" s="27" t="b">
        <v>0</v>
      </c>
    </row>
    <row r="89" spans="1:21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1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</row>
    <row r="91" spans="1:21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  <c r="U91" s="27" t="b">
        <v>0</v>
      </c>
    </row>
    <row r="92" spans="1:21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</row>
    <row r="93" spans="1:21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  <c r="U93" s="27" t="b">
        <v>0</v>
      </c>
    </row>
    <row r="94" spans="1:21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</row>
    <row r="95" spans="1:21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  <c r="U95" s="27" t="b">
        <v>0</v>
      </c>
    </row>
    <row r="96" spans="1:21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  <c r="S96" s="28"/>
      <c r="T96" s="29"/>
    </row>
    <row r="97" spans="1:21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  <c r="U97" s="27" t="b">
        <v>0</v>
      </c>
    </row>
    <row r="98" spans="1:21" x14ac:dyDescent="0.35">
      <c r="A98" s="5">
        <v>45</v>
      </c>
      <c r="B98" s="10" t="s">
        <v>99</v>
      </c>
      <c r="C98" s="2" t="s">
        <v>25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  <c r="S98" s="28"/>
      <c r="T98" s="29"/>
    </row>
    <row r="99" spans="1:21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  <c r="U99" s="27" t="b">
        <v>0</v>
      </c>
    </row>
    <row r="100" spans="1:21" x14ac:dyDescent="0.35">
      <c r="A100" s="5">
        <v>46</v>
      </c>
      <c r="B100" s="10" t="s">
        <v>100</v>
      </c>
      <c r="C100" s="2" t="s">
        <v>25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  <c r="S100" s="28"/>
      <c r="T100" s="29"/>
    </row>
    <row r="101" spans="1:21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  <c r="U101" s="27" t="b">
        <v>0</v>
      </c>
    </row>
    <row r="102" spans="1:21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  <c r="S102" s="28"/>
      <c r="T102" s="29"/>
    </row>
    <row r="103" spans="1:21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  <c r="U103" s="27" t="b">
        <v>0</v>
      </c>
    </row>
    <row r="104" spans="1:21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  <c r="S104" s="28"/>
      <c r="T104" s="29"/>
    </row>
    <row r="105" spans="1:21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  <c r="U105" s="27" t="b">
        <v>0</v>
      </c>
    </row>
    <row r="106" spans="1:21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  <c r="S106" s="28"/>
      <c r="T106" s="29"/>
    </row>
    <row r="107" spans="1:21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  <c r="U107" s="27" t="b">
        <v>0</v>
      </c>
    </row>
    <row r="108" spans="1:21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  <c r="S108" s="28"/>
      <c r="T108" s="29"/>
    </row>
    <row r="109" spans="1:21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  <c r="U109" s="27" t="b">
        <v>0</v>
      </c>
    </row>
    <row r="110" spans="1:21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  <c r="S110" s="28"/>
      <c r="T110" s="29"/>
    </row>
    <row r="111" spans="1:21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  <c r="U111" s="27" t="b">
        <v>0</v>
      </c>
    </row>
    <row r="112" spans="1:21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  <c r="S112" s="28"/>
      <c r="T112" s="29"/>
    </row>
    <row r="113" spans="1:21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  <c r="U113" s="27" t="b">
        <v>0</v>
      </c>
    </row>
    <row r="114" spans="1:21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  <c r="S114" s="28"/>
      <c r="T114" s="29"/>
    </row>
    <row r="115" spans="1:21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  <c r="U115" s="27" t="b">
        <v>0</v>
      </c>
    </row>
    <row r="116" spans="1:21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7" priority="4" operator="containsText" text="02;">
      <formula>NOT(ISERROR(SEARCH("02;",E6)))</formula>
    </cfRule>
    <cfRule type="containsText" dxfId="6" priority="5" operator="containsText" text="01;">
      <formula>NOT(ISERROR(SEARCH("01;",E6)))</formula>
    </cfRule>
    <cfRule type="containsText" dxfId="5" priority="6" operator="containsText" text="00;">
      <formula>NOT(ISERROR(SEARCH("00;",E6)))</formula>
    </cfRule>
    <cfRule type="containsText" dxfId="4" priority="7" operator="containsText" text="02.">
      <formula>NOT(ISERROR(SEARCH("02.",E6)))</formula>
    </cfRule>
    <cfRule type="containsText" dxfId="3" priority="9" operator="containsText" text="01.">
      <formula>NOT(ISERROR(SEARCH("01.",E6)))</formula>
    </cfRule>
    <cfRule type="containsText" dxfId="2" priority="10" operator="containsText" text="00.">
      <formula>NOT(ISERROR(SEARCH("00.",E6)))</formula>
    </cfRule>
  </conditionalFormatting>
  <conditionalFormatting sqref="U1:U1048576">
    <cfRule type="containsText" dxfId="1" priority="1" operator="containsText" text="FALSE">
      <formula>NOT(ISERROR(SEARCH("FALSE",U1)))</formula>
    </cfRule>
    <cfRule type="containsText" dxfId="0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2026-03-08T07:41:58Z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