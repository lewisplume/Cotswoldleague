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ebec\OneDrive\Documents\Tritons\Cotswold Series\"/>
    </mc:Choice>
  </mc:AlternateContent>
  <xr:revisionPtr revIDLastSave="0" documentId="13_ncr:1_{5BFA9CDC-413E-4AEB-AD0F-BEF055D92447}" xr6:coauthVersionLast="47" xr6:coauthVersionMax="47" xr10:uidLastSave="{00000000-0000-0000-0000-000000000000}"/>
  <bookViews>
    <workbookView xWindow="-108" yWindow="-108" windowWidth="23256" windowHeight="12576" tabRatio="749" xr2:uid="{5DFF0300-9C7B-4584-A371-49104772FE01}"/>
  </bookViews>
  <sheets>
    <sheet name="ROUNDS NO-TEAMS 04" sheetId="3" r:id="rId1"/>
    <sheet name="FINALS NO-TEAMS 06" sheetId="4" r:id="rId2"/>
    <sheet name="FINALS NO-TEAMS 08" sheetId="1" r:id="rId3"/>
    <sheet name="NO-TEAMS 03" sheetId="6" state="hidden" r:id="rId4"/>
    <sheet name="FINALS NO-TEAMS 05" sheetId="5" state="hidden" r:id="rId5"/>
    <sheet name="FINALS NO-TEAMS 07" sheetId="2" state="hidden" r:id="rId6"/>
    <sheet name="NO-TEAMS 02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1" i="1" l="1"/>
  <c r="AN10" i="1"/>
  <c r="AN9" i="1"/>
  <c r="AN8" i="1"/>
  <c r="AN7" i="1"/>
  <c r="AN6" i="1"/>
  <c r="AN5" i="1"/>
  <c r="AN4" i="1"/>
  <c r="AM11" i="1"/>
  <c r="AM10" i="1"/>
  <c r="AM9" i="1"/>
  <c r="AM8" i="1"/>
  <c r="AM7" i="1"/>
  <c r="AM6" i="1"/>
  <c r="AM5" i="1"/>
  <c r="AM4" i="1"/>
  <c r="AL11" i="1"/>
  <c r="AL10" i="1"/>
  <c r="AL9" i="1"/>
  <c r="AL8" i="1"/>
  <c r="AL7" i="1"/>
  <c r="AL6" i="1"/>
  <c r="AL5" i="1"/>
  <c r="AL4" i="1"/>
  <c r="AK11" i="1"/>
  <c r="AK10" i="1"/>
  <c r="AK9" i="1"/>
  <c r="AK8" i="1"/>
  <c r="AK7" i="1"/>
  <c r="AK6" i="1"/>
  <c r="AK5" i="1"/>
  <c r="AK4" i="1"/>
  <c r="AJ11" i="1"/>
  <c r="AJ10" i="1"/>
  <c r="AJ9" i="1"/>
  <c r="AJ8" i="1"/>
  <c r="AJ7" i="1"/>
  <c r="AJ6" i="1"/>
  <c r="AJ5" i="1"/>
  <c r="AJ4" i="1"/>
  <c r="AH9" i="4"/>
  <c r="AH8" i="4"/>
  <c r="AH7" i="4"/>
  <c r="AH6" i="4"/>
  <c r="AH5" i="4"/>
  <c r="AH4" i="4"/>
  <c r="AG9" i="4"/>
  <c r="AG8" i="4"/>
  <c r="AG7" i="4"/>
  <c r="AG6" i="4"/>
  <c r="AG5" i="4"/>
  <c r="AG4" i="4"/>
  <c r="AF9" i="4"/>
  <c r="AF8" i="4"/>
  <c r="AF7" i="4"/>
  <c r="AF6" i="4"/>
  <c r="AF5" i="4"/>
  <c r="AF4" i="4"/>
  <c r="AE9" i="4"/>
  <c r="AE8" i="4"/>
  <c r="AE7" i="4"/>
  <c r="AE6" i="4"/>
  <c r="AE5" i="4"/>
  <c r="AE4" i="4"/>
  <c r="AD9" i="4"/>
  <c r="AD8" i="4"/>
  <c r="AD7" i="4"/>
  <c r="AD6" i="4"/>
  <c r="AD5" i="4"/>
  <c r="AD4" i="4"/>
  <c r="Q9" i="3"/>
  <c r="E63" i="1"/>
  <c r="F63" i="1" a="1"/>
  <c r="F63" i="1"/>
  <c r="S63" i="1"/>
  <c r="T63" i="1" a="1"/>
  <c r="T63" i="1"/>
  <c r="Q63" i="1"/>
  <c r="R63" i="1" a="1"/>
  <c r="R63" i="1"/>
  <c r="O63" i="1"/>
  <c r="P63" i="1" a="1"/>
  <c r="P63" i="1"/>
  <c r="M63" i="1"/>
  <c r="N63" i="1" a="1"/>
  <c r="N63" i="1"/>
  <c r="K63" i="1"/>
  <c r="L63" i="1" a="1"/>
  <c r="L63" i="1"/>
  <c r="I63" i="1"/>
  <c r="J63" i="1" a="1"/>
  <c r="J63" i="1"/>
  <c r="G63" i="1"/>
  <c r="H63" i="1" a="1"/>
  <c r="H63" i="1"/>
  <c r="E61" i="1"/>
  <c r="F61" i="1" a="1"/>
  <c r="F61" i="1"/>
  <c r="G61" i="1"/>
  <c r="Q67" i="2"/>
  <c r="R67" i="2" a="1"/>
  <c r="R67" i="2"/>
  <c r="O67" i="2"/>
  <c r="P67" i="2" a="1"/>
  <c r="P67" i="2"/>
  <c r="M67" i="2"/>
  <c r="N67" i="2" a="1"/>
  <c r="N67" i="2"/>
  <c r="K67" i="2"/>
  <c r="L67" i="2" a="1"/>
  <c r="L67" i="2"/>
  <c r="I67" i="2"/>
  <c r="J67" i="2" a="1"/>
  <c r="J67" i="2"/>
  <c r="G67" i="2"/>
  <c r="H67" i="2" a="1"/>
  <c r="H67" i="2"/>
  <c r="E67" i="2"/>
  <c r="F67" i="2" a="1"/>
  <c r="F67" i="2"/>
  <c r="Q65" i="2"/>
  <c r="R65" i="2" a="1"/>
  <c r="R65" i="2"/>
  <c r="O65" i="2"/>
  <c r="P65" i="2" a="1"/>
  <c r="P65" i="2"/>
  <c r="M65" i="2"/>
  <c r="N65" i="2" a="1"/>
  <c r="N65" i="2"/>
  <c r="K65" i="2"/>
  <c r="L65" i="2" a="1"/>
  <c r="L65" i="2"/>
  <c r="I65" i="2"/>
  <c r="J65" i="2" a="1"/>
  <c r="J65" i="2"/>
  <c r="G65" i="2"/>
  <c r="H65" i="2" a="1"/>
  <c r="H65" i="2"/>
  <c r="E65" i="2"/>
  <c r="F65" i="2" a="1"/>
  <c r="F65" i="2"/>
  <c r="Q63" i="2"/>
  <c r="R63" i="2" a="1"/>
  <c r="R63" i="2"/>
  <c r="O63" i="2"/>
  <c r="P63" i="2" a="1"/>
  <c r="P63" i="2"/>
  <c r="M63" i="2"/>
  <c r="N63" i="2" a="1"/>
  <c r="N63" i="2"/>
  <c r="K63" i="2"/>
  <c r="L63" i="2" a="1"/>
  <c r="L63" i="2"/>
  <c r="I63" i="2"/>
  <c r="J63" i="2" a="1"/>
  <c r="J63" i="2"/>
  <c r="G63" i="2"/>
  <c r="H63" i="2" a="1"/>
  <c r="H63" i="2"/>
  <c r="E63" i="2"/>
  <c r="F63" i="2" a="1"/>
  <c r="F63" i="2"/>
  <c r="Q61" i="2"/>
  <c r="R61" i="2" a="1"/>
  <c r="R61" i="2"/>
  <c r="O61" i="2"/>
  <c r="P61" i="2" a="1"/>
  <c r="P61" i="2"/>
  <c r="M61" i="2"/>
  <c r="N61" i="2" a="1"/>
  <c r="N61" i="2"/>
  <c r="K61" i="2"/>
  <c r="L61" i="2" a="1"/>
  <c r="L61" i="2"/>
  <c r="I61" i="2"/>
  <c r="J61" i="2" a="1"/>
  <c r="J61" i="2"/>
  <c r="G61" i="2"/>
  <c r="H61" i="2" a="1"/>
  <c r="H61" i="2"/>
  <c r="E61" i="2"/>
  <c r="F61" i="2" a="1"/>
  <c r="F61" i="2"/>
  <c r="Q59" i="2"/>
  <c r="R59" i="2" a="1"/>
  <c r="R59" i="2"/>
  <c r="O59" i="2"/>
  <c r="P59" i="2" a="1"/>
  <c r="P59" i="2"/>
  <c r="M59" i="2"/>
  <c r="N59" i="2" a="1"/>
  <c r="N59" i="2"/>
  <c r="K59" i="2"/>
  <c r="L59" i="2" a="1"/>
  <c r="L59" i="2"/>
  <c r="I59" i="2"/>
  <c r="J59" i="2" a="1"/>
  <c r="J59" i="2"/>
  <c r="G59" i="2"/>
  <c r="H59" i="2" a="1"/>
  <c r="H59" i="2"/>
  <c r="E59" i="2"/>
  <c r="F59" i="2" a="1"/>
  <c r="F59" i="2"/>
  <c r="Q57" i="2"/>
  <c r="R57" i="2" a="1"/>
  <c r="R57" i="2"/>
  <c r="O57" i="2"/>
  <c r="P57" i="2" a="1"/>
  <c r="P57" i="2"/>
  <c r="M57" i="2"/>
  <c r="N57" i="2" a="1"/>
  <c r="N57" i="2"/>
  <c r="K57" i="2"/>
  <c r="L57" i="2" a="1"/>
  <c r="L57" i="2"/>
  <c r="I57" i="2"/>
  <c r="J57" i="2" a="1"/>
  <c r="J57" i="2"/>
  <c r="G57" i="2"/>
  <c r="H57" i="2" a="1"/>
  <c r="H57" i="2"/>
  <c r="E57" i="2"/>
  <c r="F57" i="2" a="1"/>
  <c r="F57" i="2"/>
  <c r="Q55" i="2"/>
  <c r="R55" i="2" a="1"/>
  <c r="R55" i="2"/>
  <c r="O55" i="2"/>
  <c r="P55" i="2" a="1"/>
  <c r="P55" i="2"/>
  <c r="M55" i="2"/>
  <c r="N55" i="2" a="1"/>
  <c r="N55" i="2"/>
  <c r="K55" i="2"/>
  <c r="L55" i="2" a="1"/>
  <c r="L55" i="2"/>
  <c r="I55" i="2"/>
  <c r="J55" i="2" a="1"/>
  <c r="J55" i="2"/>
  <c r="G55" i="2"/>
  <c r="H55" i="2" a="1"/>
  <c r="H55" i="2"/>
  <c r="E55" i="2"/>
  <c r="F55" i="2" a="1"/>
  <c r="F55" i="2"/>
  <c r="Q53" i="2"/>
  <c r="R53" i="2" a="1"/>
  <c r="R53" i="2"/>
  <c r="O53" i="2"/>
  <c r="P53" i="2" a="1"/>
  <c r="P53" i="2"/>
  <c r="M53" i="2"/>
  <c r="N53" i="2" a="1"/>
  <c r="N53" i="2"/>
  <c r="K53" i="2"/>
  <c r="L53" i="2" a="1"/>
  <c r="L53" i="2"/>
  <c r="I53" i="2"/>
  <c r="J53" i="2" a="1"/>
  <c r="J53" i="2"/>
  <c r="G53" i="2"/>
  <c r="H53" i="2" a="1"/>
  <c r="H53" i="2"/>
  <c r="E53" i="2"/>
  <c r="F53" i="2" a="1"/>
  <c r="F53" i="2"/>
  <c r="Q51" i="2"/>
  <c r="R51" i="2" a="1"/>
  <c r="R51" i="2"/>
  <c r="O51" i="2"/>
  <c r="P51" i="2" a="1"/>
  <c r="P51" i="2"/>
  <c r="M51" i="2"/>
  <c r="N51" i="2" a="1"/>
  <c r="N51" i="2"/>
  <c r="K51" i="2"/>
  <c r="L51" i="2" a="1"/>
  <c r="L51" i="2"/>
  <c r="I51" i="2"/>
  <c r="J51" i="2" a="1"/>
  <c r="J51" i="2"/>
  <c r="G51" i="2"/>
  <c r="H51" i="2" a="1"/>
  <c r="H51" i="2"/>
  <c r="E51" i="2"/>
  <c r="F51" i="2" a="1"/>
  <c r="F51" i="2"/>
  <c r="Q49" i="2"/>
  <c r="R49" i="2" a="1"/>
  <c r="R49" i="2"/>
  <c r="O49" i="2"/>
  <c r="P49" i="2" a="1"/>
  <c r="P49" i="2"/>
  <c r="M49" i="2"/>
  <c r="N49" i="2" a="1"/>
  <c r="N49" i="2"/>
  <c r="K49" i="2"/>
  <c r="L49" i="2" a="1"/>
  <c r="L49" i="2"/>
  <c r="I49" i="2"/>
  <c r="J49" i="2" a="1"/>
  <c r="J49" i="2"/>
  <c r="G49" i="2"/>
  <c r="H49" i="2" a="1"/>
  <c r="H49" i="2"/>
  <c r="E49" i="2"/>
  <c r="F49" i="2" a="1"/>
  <c r="F49" i="2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s="1" a="1"/>
  <c r="L40" i="3" s="1"/>
  <c r="I40" i="3"/>
  <c r="J40" i="3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s="1" a="1"/>
  <c r="L32" i="3" s="1"/>
  <c r="I32" i="3"/>
  <c r="J32" i="3" s="1" a="1"/>
  <c r="J32" i="3" s="1"/>
  <c r="G32" i="3"/>
  <c r="H32" i="3" a="1"/>
  <c r="H32" i="3" s="1"/>
  <c r="E32" i="3"/>
  <c r="F32" i="3" s="1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/>
  <c r="G47" i="6"/>
  <c r="G68" i="6"/>
  <c r="G89" i="6"/>
  <c r="G116" i="6"/>
  <c r="G117" i="6"/>
  <c r="T5" i="6"/>
  <c r="H7" i="6" a="1"/>
  <c r="H7" i="6"/>
  <c r="R5" i="6"/>
  <c r="I7" i="6"/>
  <c r="J7" i="6" a="1"/>
  <c r="J7" i="6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a="1"/>
  <c r="F7" i="6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G26" i="4"/>
  <c r="G47" i="4"/>
  <c r="G68" i="4"/>
  <c r="G89" i="4"/>
  <c r="G116" i="4"/>
  <c r="AC5" i="4"/>
  <c r="I7" i="4"/>
  <c r="J7" i="4" a="1"/>
  <c r="J7" i="4"/>
  <c r="K7" i="4"/>
  <c r="L7" i="4" a="1"/>
  <c r="L7" i="4"/>
  <c r="M7" i="4"/>
  <c r="O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s="1" a="1"/>
  <c r="F113" i="3" s="1"/>
  <c r="K111" i="3"/>
  <c r="L111" i="3" s="1" a="1"/>
  <c r="L111" i="3" s="1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s="1" a="1"/>
  <c r="F109" i="3" s="1"/>
  <c r="K107" i="3"/>
  <c r="L107" i="3" s="1" a="1"/>
  <c r="L107" i="3" s="1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s="1" a="1"/>
  <c r="F105" i="3" s="1"/>
  <c r="K103" i="3"/>
  <c r="L103" i="3" s="1" a="1"/>
  <c r="L103" i="3" s="1"/>
  <c r="I103" i="3"/>
  <c r="J103" i="3" s="1" a="1"/>
  <c r="J103" i="3" s="1"/>
  <c r="G103" i="3"/>
  <c r="H103" i="3" s="1" a="1"/>
  <c r="H103" i="3" s="1"/>
  <c r="E103" i="3"/>
  <c r="F103" i="3" s="1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s="1" a="1"/>
  <c r="F101" i="3" s="1"/>
  <c r="K99" i="3"/>
  <c r="L99" i="3" s="1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s="1" a="1"/>
  <c r="F93" i="3" s="1"/>
  <c r="K91" i="3"/>
  <c r="L91" i="3" s="1" a="1"/>
  <c r="L91" i="3" s="1"/>
  <c r="I91" i="3"/>
  <c r="J91" i="3" s="1" a="1"/>
  <c r="J91" i="3" s="1"/>
  <c r="G91" i="3"/>
  <c r="H91" i="3" s="1" a="1"/>
  <c r="H91" i="3" s="1"/>
  <c r="E91" i="3"/>
  <c r="F91" i="3" s="1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s="1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s="1" a="1"/>
  <c r="J84" i="3" s="1"/>
  <c r="G84" i="3"/>
  <c r="H84" i="3" s="1" a="1"/>
  <c r="H84" i="3" s="1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a="1"/>
  <c r="F82" i="3" s="1"/>
  <c r="K80" i="3"/>
  <c r="L80" i="3" s="1" a="1"/>
  <c r="L80" i="3" s="1"/>
  <c r="I80" i="3"/>
  <c r="J80" i="3" s="1" a="1"/>
  <c r="J80" i="3" s="1"/>
  <c r="G80" i="3"/>
  <c r="H80" i="3" s="1" a="1"/>
  <c r="H80" i="3" s="1"/>
  <c r="E80" i="3"/>
  <c r="F80" i="3" s="1" a="1"/>
  <c r="F80" i="3" s="1"/>
  <c r="K78" i="3"/>
  <c r="L78" i="3" s="1" a="1"/>
  <c r="L78" i="3" s="1"/>
  <c r="I78" i="3"/>
  <c r="J78" i="3" s="1" a="1"/>
  <c r="J78" i="3" s="1"/>
  <c r="H78" i="3" a="1"/>
  <c r="H78" i="3" s="1"/>
  <c r="G78" i="3"/>
  <c r="E78" i="3"/>
  <c r="F78" i="3" s="1" a="1"/>
  <c r="F78" i="3" s="1"/>
  <c r="K76" i="3"/>
  <c r="L76" i="3" s="1" a="1"/>
  <c r="L76" i="3" s="1"/>
  <c r="I76" i="3"/>
  <c r="J76" i="3" a="1"/>
  <c r="J76" i="3" s="1"/>
  <c r="G76" i="3"/>
  <c r="H76" i="3" s="1" a="1"/>
  <c r="H76" i="3" s="1"/>
  <c r="E76" i="3"/>
  <c r="F76" i="3" s="1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s="1" a="1"/>
  <c r="L72" i="3" s="1"/>
  <c r="I72" i="3"/>
  <c r="J72" i="3" s="1" a="1"/>
  <c r="J72" i="3" s="1"/>
  <c r="G72" i="3"/>
  <c r="H72" i="3" s="1" a="1"/>
  <c r="H72" i="3" s="1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H67" i="3" a="1"/>
  <c r="H67" i="3" s="1"/>
  <c r="G67" i="3"/>
  <c r="E67" i="3"/>
  <c r="F67" i="3" s="1" a="1"/>
  <c r="F67" i="3" s="1"/>
  <c r="K65" i="3"/>
  <c r="L65" i="3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s="1" a="1"/>
  <c r="L63" i="3" s="1"/>
  <c r="I63" i="3"/>
  <c r="J63" i="3" a="1"/>
  <c r="J63" i="3" s="1"/>
  <c r="G63" i="3"/>
  <c r="H63" i="3" s="1" a="1"/>
  <c r="H63" i="3" s="1"/>
  <c r="E63" i="3"/>
  <c r="F63" i="3" a="1"/>
  <c r="F63" i="3" s="1"/>
  <c r="K61" i="3"/>
  <c r="L61" i="3" s="1" a="1"/>
  <c r="L61" i="3" s="1"/>
  <c r="I61" i="3"/>
  <c r="J61" i="3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a="1"/>
  <c r="J59" i="3" s="1"/>
  <c r="G59" i="3"/>
  <c r="H59" i="3" s="1" a="1"/>
  <c r="H59" i="3" s="1"/>
  <c r="E59" i="3"/>
  <c r="F59" i="3" s="1" a="1"/>
  <c r="F59" i="3" s="1"/>
  <c r="K57" i="3"/>
  <c r="L57" i="3" s="1" a="1"/>
  <c r="L57" i="3" s="1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H55" i="3" a="1"/>
  <c r="H55" i="3" s="1"/>
  <c r="G55" i="3"/>
  <c r="E55" i="3"/>
  <c r="F55" i="3" s="1" a="1"/>
  <c r="F55" i="3" s="1"/>
  <c r="K53" i="3"/>
  <c r="L53" i="3" a="1"/>
  <c r="L53" i="3" s="1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s="1" a="1"/>
  <c r="L49" i="3" s="1"/>
  <c r="I49" i="3"/>
  <c r="J49" i="3" a="1"/>
  <c r="J49" i="3" s="1"/>
  <c r="G49" i="3"/>
  <c r="H49" i="3" s="1" a="1"/>
  <c r="H49" i="3" s="1"/>
  <c r="E49" i="3"/>
  <c r="F49" i="3" s="1" a="1"/>
  <c r="F49" i="3" s="1"/>
  <c r="K46" i="3"/>
  <c r="L46" i="3" s="1" a="1"/>
  <c r="L46" i="3" s="1"/>
  <c r="I46" i="3"/>
  <c r="J46" i="3" a="1"/>
  <c r="J46" i="3" s="1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H44" i="3" a="1"/>
  <c r="H44" i="3" s="1"/>
  <c r="G44" i="3"/>
  <c r="E44" i="3"/>
  <c r="F44" i="3" s="1" a="1"/>
  <c r="F44" i="3" s="1"/>
  <c r="K42" i="3"/>
  <c r="L42" i="3" s="1" a="1"/>
  <c r="L42" i="3" s="1"/>
  <c r="I42" i="3"/>
  <c r="J42" i="3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a="1"/>
  <c r="H38" i="3" s="1"/>
  <c r="E38" i="3"/>
  <c r="F38" i="3" s="1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a="1"/>
  <c r="H34" i="3" s="1"/>
  <c r="E34" i="3"/>
  <c r="F34" i="3" s="1" a="1"/>
  <c r="F34" i="3" s="1"/>
  <c r="K30" i="3"/>
  <c r="L30" i="3" a="1"/>
  <c r="L30" i="3" s="1"/>
  <c r="I30" i="3"/>
  <c r="J30" i="3" s="1" a="1"/>
  <c r="J30" i="3" s="1"/>
  <c r="G30" i="3"/>
  <c r="H30" i="3" s="1" a="1"/>
  <c r="H30" i="3" s="1"/>
  <c r="E30" i="3"/>
  <c r="F30" i="3" s="1" a="1"/>
  <c r="F30" i="3" s="1"/>
  <c r="K28" i="3"/>
  <c r="L28" i="3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a="1"/>
  <c r="J25" i="3" s="1"/>
  <c r="G25" i="3"/>
  <c r="H25" i="3" s="1" a="1"/>
  <c r="H25" i="3" s="1"/>
  <c r="E25" i="3"/>
  <c r="F25" i="3" s="1" a="1"/>
  <c r="F25" i="3" s="1"/>
  <c r="K23" i="3"/>
  <c r="L23" i="3" s="1" a="1"/>
  <c r="L23" i="3" s="1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a="1"/>
  <c r="J21" i="3" s="1"/>
  <c r="G21" i="3"/>
  <c r="H21" i="3" s="1" a="1"/>
  <c r="H21" i="3" s="1"/>
  <c r="E21" i="3"/>
  <c r="F21" i="3" s="1" a="1"/>
  <c r="F21" i="3" s="1"/>
  <c r="K19" i="3"/>
  <c r="L19" i="3" s="1" a="1"/>
  <c r="L19" i="3" s="1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s="1" a="1"/>
  <c r="F15" i="3" s="1"/>
  <c r="K13" i="3"/>
  <c r="L13" i="3" s="1" a="1"/>
  <c r="L13" i="3" s="1"/>
  <c r="I13" i="3"/>
  <c r="J13" i="3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Q11" i="3"/>
  <c r="K7" i="3"/>
  <c r="L7" i="3" s="1" a="1"/>
  <c r="L7" i="3" s="1"/>
  <c r="I7" i="3"/>
  <c r="J7" i="3" s="1" a="1"/>
  <c r="J7" i="3" s="1"/>
  <c r="G7" i="3"/>
  <c r="E7" i="3"/>
  <c r="F7" i="3" s="1" a="1"/>
  <c r="F7" i="3" s="1"/>
  <c r="Q10" i="3"/>
  <c r="Q8" i="3"/>
  <c r="F40" i="4" a="1"/>
  <c r="F40" i="4"/>
  <c r="P40" i="4" a="1"/>
  <c r="P40" i="4"/>
  <c r="N40" i="4" a="1"/>
  <c r="N40" i="4"/>
  <c r="L40" i="4" a="1"/>
  <c r="L40" i="4"/>
  <c r="J40" i="4" a="1"/>
  <c r="J40" i="4"/>
  <c r="H40" i="4" a="1"/>
  <c r="H40" i="4"/>
  <c r="H7" i="7" a="1"/>
  <c r="H7" i="7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G68" i="5"/>
  <c r="G89" i="5"/>
  <c r="G116" i="5"/>
  <c r="Z5" i="5"/>
  <c r="K26" i="5"/>
  <c r="K47" i="5"/>
  <c r="F7" i="5" a="1"/>
  <c r="F7" i="5"/>
  <c r="I26" i="5"/>
  <c r="I47" i="5"/>
  <c r="I68" i="5"/>
  <c r="I89" i="5"/>
  <c r="I116" i="5"/>
  <c r="Z6" i="5"/>
  <c r="M68" i="5"/>
  <c r="M89" i="5"/>
  <c r="M116" i="5"/>
  <c r="Z8" i="5"/>
  <c r="E68" i="5"/>
  <c r="E89" i="5"/>
  <c r="E116" i="5"/>
  <c r="Z4" i="5"/>
  <c r="K68" i="5"/>
  <c r="K89" i="5"/>
  <c r="K116" i="5"/>
  <c r="Z7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a="1"/>
  <c r="H88" i="1"/>
  <c r="I88" i="1"/>
  <c r="J88" i="1" a="1"/>
  <c r="J88" i="1"/>
  <c r="K88" i="1"/>
  <c r="L88" i="1" a="1"/>
  <c r="L88" i="1"/>
  <c r="M88" i="1"/>
  <c r="N88" i="1" a="1"/>
  <c r="N88" i="1"/>
  <c r="O88" i="1"/>
  <c r="P88" i="1" a="1"/>
  <c r="P88" i="1"/>
  <c r="Q88" i="1"/>
  <c r="R88" i="1" a="1"/>
  <c r="R88" i="1"/>
  <c r="S88" i="1"/>
  <c r="T88" i="1" a="1"/>
  <c r="T88" i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/>
  <c r="F42" i="1" a="1"/>
  <c r="F42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a="1"/>
  <c r="F88" i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F44" i="1" a="1"/>
  <c r="E42" i="1"/>
  <c r="E38" i="1"/>
  <c r="F38" i="1" a="1"/>
  <c r="F38" i="1"/>
  <c r="E36" i="1"/>
  <c r="F36" i="1" a="1"/>
  <c r="F36" i="1"/>
  <c r="E34" i="1"/>
  <c r="F34" i="1" a="1"/>
  <c r="F34" i="1"/>
  <c r="E28" i="1"/>
  <c r="F28" i="1" a="1"/>
  <c r="F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a="1"/>
  <c r="H7" i="1"/>
  <c r="I7" i="1"/>
  <c r="J7" i="1" a="1"/>
  <c r="J7" i="1"/>
  <c r="K7" i="1"/>
  <c r="L7" i="1" a="1"/>
  <c r="L7" i="1"/>
  <c r="M7" i="1"/>
  <c r="O7" i="1"/>
  <c r="Q7" i="1"/>
  <c r="R7" i="1" a="1"/>
  <c r="R7" i="1"/>
  <c r="S7" i="1"/>
  <c r="T7" i="1" a="1"/>
  <c r="T7" i="1"/>
  <c r="E7" i="1"/>
  <c r="F7" i="1" a="1"/>
  <c r="F7" i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K68" i="2"/>
  <c r="K89" i="2"/>
  <c r="K116" i="2"/>
  <c r="AF7" i="2"/>
  <c r="E26" i="2"/>
  <c r="E47" i="2"/>
  <c r="M26" i="2"/>
  <c r="M47" i="2"/>
  <c r="O26" i="2"/>
  <c r="O47" i="2"/>
  <c r="Q26" i="2"/>
  <c r="Q47" i="2"/>
  <c r="Q68" i="2"/>
  <c r="Q89" i="2"/>
  <c r="Q116" i="2"/>
  <c r="AF10" i="2"/>
  <c r="E68" i="2"/>
  <c r="E89" i="2"/>
  <c r="E116" i="2"/>
  <c r="AF4" i="2"/>
  <c r="O68" i="2"/>
  <c r="O89" i="2"/>
  <c r="O116" i="2"/>
  <c r="AF9" i="2"/>
  <c r="G68" i="2"/>
  <c r="G89" i="2"/>
  <c r="G116" i="2"/>
  <c r="AF5" i="2"/>
  <c r="M68" i="2"/>
  <c r="M89" i="2"/>
  <c r="M116" i="2"/>
  <c r="AF8" i="2"/>
  <c r="I68" i="2"/>
  <c r="I89" i="2"/>
  <c r="I116" i="2"/>
  <c r="AF6" i="2"/>
  <c r="O26" i="1"/>
  <c r="O47" i="1"/>
  <c r="O68" i="1"/>
  <c r="M26" i="1"/>
  <c r="M47" i="1"/>
  <c r="M68" i="1"/>
  <c r="M26" i="4"/>
  <c r="M47" i="4"/>
  <c r="M68" i="4"/>
  <c r="M89" i="4"/>
  <c r="M116" i="4"/>
  <c r="AC8" i="4"/>
  <c r="H7" i="4" a="1"/>
  <c r="H7" i="4"/>
  <c r="E26" i="4"/>
  <c r="I26" i="4"/>
  <c r="K26" i="4"/>
  <c r="K47" i="4"/>
  <c r="K68" i="4"/>
  <c r="K89" i="4"/>
  <c r="K116" i="4"/>
  <c r="AC7" i="4"/>
  <c r="O26" i="4"/>
  <c r="O47" i="4"/>
  <c r="O68" i="4"/>
  <c r="O89" i="4"/>
  <c r="O116" i="4"/>
  <c r="AC9" i="4"/>
  <c r="U6" i="5"/>
  <c r="V6" i="5"/>
  <c r="X6" i="5"/>
  <c r="W6" i="5"/>
  <c r="Y6" i="5"/>
  <c r="S6" i="5"/>
  <c r="T6" i="5"/>
  <c r="T7" i="5"/>
  <c r="W7" i="5"/>
  <c r="U7" i="5"/>
  <c r="V7" i="5"/>
  <c r="X7" i="5"/>
  <c r="Y7" i="5"/>
  <c r="S7" i="5"/>
  <c r="U8" i="5"/>
  <c r="V8" i="5"/>
  <c r="S8" i="5"/>
  <c r="T8" i="5"/>
  <c r="W8" i="5"/>
  <c r="X8" i="5"/>
  <c r="Y8" i="5"/>
  <c r="V4" i="5"/>
  <c r="W4" i="5"/>
  <c r="S4" i="5"/>
  <c r="X4" i="5"/>
  <c r="Y4" i="5"/>
  <c r="T4" i="5"/>
  <c r="U4" i="5"/>
  <c r="S5" i="5"/>
  <c r="T5" i="5"/>
  <c r="Y5" i="5"/>
  <c r="U5" i="5"/>
  <c r="V5" i="5"/>
  <c r="W5" i="5"/>
  <c r="X5" i="5"/>
  <c r="E47" i="4"/>
  <c r="I47" i="4"/>
  <c r="I68" i="4"/>
  <c r="I89" i="4"/>
  <c r="I116" i="4"/>
  <c r="AC6" i="4"/>
  <c r="N7" i="4" a="1"/>
  <c r="N7" i="4"/>
  <c r="F7" i="4" a="1"/>
  <c r="F7" i="4"/>
  <c r="P7" i="4" a="1"/>
  <c r="P7" i="4"/>
  <c r="S5" i="6"/>
  <c r="S6" i="6"/>
  <c r="R6" i="6"/>
  <c r="Q6" i="6"/>
  <c r="P6" i="6"/>
  <c r="O6" i="6"/>
  <c r="P4" i="6"/>
  <c r="Q4" i="6"/>
  <c r="O4" i="6"/>
  <c r="S4" i="6"/>
  <c r="R4" i="6"/>
  <c r="I26" i="6"/>
  <c r="I47" i="6"/>
  <c r="I68" i="6"/>
  <c r="I89" i="6"/>
  <c r="I116" i="6"/>
  <c r="I117" i="6"/>
  <c r="T6" i="6"/>
  <c r="O5" i="6"/>
  <c r="Q5" i="6"/>
  <c r="P5" i="6"/>
  <c r="E26" i="6"/>
  <c r="E47" i="6"/>
  <c r="E68" i="6"/>
  <c r="E89" i="6"/>
  <c r="E116" i="6"/>
  <c r="E117" i="6"/>
  <c r="T4" i="6"/>
  <c r="S26" i="1"/>
  <c r="S47" i="1"/>
  <c r="K26" i="1"/>
  <c r="K47" i="1"/>
  <c r="K68" i="1"/>
  <c r="K89" i="1"/>
  <c r="K116" i="1"/>
  <c r="AI7" i="1"/>
  <c r="H7" i="3" a="1"/>
  <c r="H7" i="3" s="1"/>
  <c r="P7" i="1" a="1"/>
  <c r="P7" i="1"/>
  <c r="E26" i="1"/>
  <c r="Q26" i="1"/>
  <c r="Q47" i="1"/>
  <c r="Q68" i="1"/>
  <c r="Q89" i="1"/>
  <c r="Q116" i="1"/>
  <c r="AI10" i="1"/>
  <c r="N7" i="1" a="1"/>
  <c r="N7" i="1"/>
  <c r="I26" i="1"/>
  <c r="I47" i="1"/>
  <c r="I68" i="1"/>
  <c r="I89" i="1"/>
  <c r="I116" i="1"/>
  <c r="AI6" i="1"/>
  <c r="G26" i="1"/>
  <c r="G47" i="1"/>
  <c r="G68" i="1"/>
  <c r="G89" i="1"/>
  <c r="G116" i="1"/>
  <c r="AI5" i="1"/>
  <c r="S68" i="1"/>
  <c r="S89" i="1"/>
  <c r="S116" i="1"/>
  <c r="AI11" i="1"/>
  <c r="O89" i="1"/>
  <c r="O116" i="1"/>
  <c r="AI9" i="1"/>
  <c r="M89" i="1"/>
  <c r="M116" i="1"/>
  <c r="AI8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E47" i="1"/>
  <c r="E68" i="4"/>
  <c r="E68" i="1"/>
  <c r="E89" i="4"/>
  <c r="E89" i="1"/>
  <c r="E116" i="4"/>
  <c r="Y6" i="4"/>
  <c r="W5" i="4"/>
  <c r="V8" i="4"/>
  <c r="V4" i="4"/>
  <c r="X4" i="4"/>
  <c r="Z4" i="4"/>
  <c r="W4" i="4"/>
  <c r="AA4" i="4"/>
  <c r="AB4" i="4"/>
  <c r="U6" i="4"/>
  <c r="W7" i="4"/>
  <c r="Y8" i="4"/>
  <c r="X8" i="4"/>
  <c r="U8" i="4"/>
  <c r="X5" i="4"/>
  <c r="Y9" i="4"/>
  <c r="AB9" i="4"/>
  <c r="V9" i="4"/>
  <c r="U9" i="4"/>
  <c r="X9" i="4"/>
  <c r="AA10" i="1"/>
  <c r="E116" i="1"/>
  <c r="AH6" i="1"/>
  <c r="AE4" i="1"/>
  <c r="AA6" i="1"/>
  <c r="AC9" i="1"/>
  <c r="Z8" i="1"/>
  <c r="AE6" i="1"/>
  <c r="AG11" i="1"/>
  <c r="AF11" i="1"/>
  <c r="AA11" i="1"/>
  <c r="Z11" i="1"/>
  <c r="AE11" i="1"/>
  <c r="Y11" i="1"/>
  <c r="AB11" i="1"/>
  <c r="AC4" i="1"/>
  <c r="AE8" i="1"/>
  <c r="AC6" i="1"/>
  <c r="AH9" i="1"/>
  <c r="AB9" i="1"/>
  <c r="AC10" i="1"/>
  <c r="AD6" i="1"/>
  <c r="AG7" i="1"/>
  <c r="AA7" i="1"/>
  <c r="AH7" i="1"/>
  <c r="Z7" i="1"/>
  <c r="AC8" i="1"/>
  <c r="AC7" i="1"/>
  <c r="AB6" i="1"/>
  <c r="AE9" i="1"/>
  <c r="AD8" i="1"/>
  <c r="Y4" i="1"/>
  <c r="AB5" i="1"/>
  <c r="V5" i="4"/>
  <c r="Z5" i="4"/>
  <c r="AA5" i="4"/>
  <c r="U5" i="4"/>
  <c r="AB5" i="4"/>
  <c r="Y5" i="4"/>
  <c r="Y4" i="4"/>
  <c r="U4" i="4"/>
  <c r="Z9" i="4"/>
  <c r="AA9" i="4"/>
  <c r="W9" i="4"/>
  <c r="AB6" i="4"/>
  <c r="Z6" i="4"/>
  <c r="V6" i="4"/>
  <c r="W6" i="4"/>
  <c r="X6" i="4"/>
  <c r="AC4" i="4"/>
  <c r="AB7" i="4"/>
  <c r="AA7" i="4"/>
  <c r="X7" i="4"/>
  <c r="Z7" i="4"/>
  <c r="U7" i="4"/>
  <c r="Y7" i="4"/>
  <c r="W8" i="4"/>
  <c r="AB8" i="4"/>
  <c r="Z8" i="4"/>
  <c r="V7" i="4"/>
  <c r="AA6" i="4"/>
  <c r="AA8" i="4"/>
  <c r="AD9" i="1"/>
  <c r="Y8" i="1"/>
  <c r="AG8" i="1"/>
  <c r="AH8" i="1"/>
  <c r="AF8" i="1"/>
  <c r="AA8" i="1"/>
  <c r="AB8" i="1"/>
  <c r="AF5" i="1"/>
  <c r="AG5" i="1"/>
  <c r="Z5" i="1"/>
  <c r="AE5" i="1"/>
  <c r="AD5" i="1"/>
  <c r="AH5" i="1"/>
  <c r="AC5" i="1"/>
  <c r="AG9" i="1"/>
  <c r="AA5" i="1"/>
  <c r="AA9" i="1"/>
  <c r="AD7" i="1"/>
  <c r="AB7" i="1"/>
  <c r="Y7" i="1"/>
  <c r="AF7" i="1"/>
  <c r="AE7" i="1"/>
  <c r="Y5" i="1"/>
  <c r="AF6" i="1"/>
  <c r="AI4" i="1"/>
  <c r="AF4" i="1"/>
  <c r="AD4" i="1"/>
  <c r="AH4" i="1"/>
  <c r="AB4" i="1"/>
  <c r="Z4" i="1"/>
  <c r="Z9" i="1"/>
  <c r="AG4" i="1"/>
  <c r="AB10" i="1"/>
  <c r="AE10" i="1"/>
  <c r="AD10" i="1"/>
  <c r="Y10" i="1"/>
  <c r="AG10" i="1"/>
  <c r="AF10" i="1"/>
  <c r="Z10" i="1"/>
  <c r="AH10" i="1"/>
  <c r="Z6" i="1"/>
  <c r="Y6" i="1"/>
  <c r="AG6" i="1"/>
  <c r="AF9" i="1"/>
  <c r="AA4" i="1"/>
  <c r="AD11" i="1"/>
  <c r="AH11" i="1"/>
  <c r="AC11" i="1"/>
  <c r="Y9" i="1"/>
  <c r="K26" i="3" l="1"/>
  <c r="K47" i="3" s="1"/>
  <c r="K68" i="3" s="1"/>
  <c r="K89" i="3" s="1"/>
  <c r="K116" i="3" s="1"/>
  <c r="X11" i="3" s="1"/>
  <c r="E26" i="3"/>
  <c r="E47" i="3" s="1"/>
  <c r="E68" i="3" s="1"/>
  <c r="E89" i="3" s="1"/>
  <c r="F11" i="3" a="1"/>
  <c r="F11" i="3" s="1"/>
  <c r="W8" i="3" s="1"/>
  <c r="G26" i="3"/>
  <c r="G47" i="3" s="1"/>
  <c r="G68" i="3" s="1"/>
  <c r="G89" i="3" s="1"/>
  <c r="G116" i="3" s="1"/>
  <c r="X9" i="3" s="1"/>
  <c r="W10" i="3"/>
  <c r="S10" i="3"/>
  <c r="U10" i="3"/>
  <c r="T10" i="3"/>
  <c r="R10" i="3"/>
  <c r="V10" i="3"/>
  <c r="U8" i="3"/>
  <c r="R8" i="3"/>
  <c r="U11" i="3"/>
  <c r="W11" i="3"/>
  <c r="S11" i="3"/>
  <c r="T11" i="3"/>
  <c r="R11" i="3"/>
  <c r="V11" i="3"/>
  <c r="U9" i="3"/>
  <c r="S9" i="3"/>
  <c r="V9" i="3"/>
  <c r="W9" i="3"/>
  <c r="R9" i="3"/>
  <c r="T9" i="3"/>
  <c r="I26" i="3"/>
  <c r="I47" i="3" s="1"/>
  <c r="I68" i="3" s="1"/>
  <c r="I89" i="3" s="1"/>
  <c r="I116" i="3" s="1"/>
  <c r="X10" i="3" s="1"/>
  <c r="T8" i="3" l="1"/>
  <c r="V8" i="3"/>
  <c r="S8" i="3"/>
  <c r="Y8" i="3"/>
  <c r="Y11" i="3"/>
  <c r="AB9" i="3"/>
  <c r="AB8" i="3"/>
  <c r="E116" i="3"/>
  <c r="AB11" i="3"/>
  <c r="AB10" i="3"/>
  <c r="AA10" i="3"/>
  <c r="Y9" i="3"/>
  <c r="AA8" i="3"/>
  <c r="AA11" i="3"/>
  <c r="Z10" i="3"/>
  <c r="Z8" i="3"/>
  <c r="Z11" i="3"/>
  <c r="Y10" i="3"/>
  <c r="AA9" i="3"/>
  <c r="Z9" i="3"/>
  <c r="AC9" i="3" l="1"/>
  <c r="AC8" i="3"/>
  <c r="X8" i="3"/>
  <c r="AC11" i="3"/>
  <c r="AC10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<sst xmlns="http://schemas.openxmlformats.org/spreadsheetml/2006/main" count="1390" uniqueCount="113">
  <si>
    <t>Cotswold League 2026 Gala Results Calculator</t>
  </si>
  <si>
    <t>Lane 1</t>
  </si>
  <si>
    <t>Lane 2</t>
  </si>
  <si>
    <t>Lane 3</t>
  </si>
  <si>
    <t>Lane 4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</si>
  <si>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</si>
  <si>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</si>
  <si>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</si>
  <si>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</si>
  <si>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</si>
  <si>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</si>
  <si>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</si>
  <si>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</si>
  <si>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t>Points &amp; Times Checked?</t>
  </si>
  <si>
    <t>Results Summary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</si>
  <si>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</si>
  <si>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1st Places</t>
  </si>
  <si>
    <t>2nd Places</t>
  </si>
  <si>
    <t>3rd Places</t>
  </si>
  <si>
    <t>4th Places</t>
  </si>
  <si>
    <t>DQs</t>
  </si>
  <si>
    <t>Too Fast</t>
  </si>
  <si>
    <t>Total Points</t>
  </si>
  <si>
    <t>Place After 10</t>
  </si>
  <si>
    <t>Place After 20</t>
  </si>
  <si>
    <t>Place After 30</t>
  </si>
  <si>
    <t>Place After 40</t>
  </si>
  <si>
    <t>Place After Cannon</t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</si>
  <si>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</si>
  <si>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</si>
  <si>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</si>
  <si>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</si>
  <si>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</si>
  <si>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</si>
  <si>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</si>
  <si>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</si>
  <si>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</si>
  <si>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</si>
  <si>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</si>
  <si>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</si>
  <si>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</si>
  <si>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</si>
  <si>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</si>
  <si>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</si>
  <si>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</si>
  <si>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</si>
  <si>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</si>
  <si>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</si>
  <si>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</si>
  <si>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</si>
  <si>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</si>
  <si>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</si>
  <si>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</si>
  <si>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</si>
  <si>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</si>
  <si>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</si>
  <si>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</si>
  <si>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</si>
  <si>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</si>
  <si>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</si>
  <si>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</si>
  <si>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</si>
  <si>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</si>
  <si>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</si>
  <si>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</si>
  <si>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</si>
  <si>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</si>
  <si>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</si>
  <si>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</si>
  <si>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</si>
  <si>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</si>
  <si>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</si>
  <si>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</si>
  <si>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</si>
  <si>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</si>
  <si>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</si>
  <si>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</si>
  <si>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</si>
  <si>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</si>
  <si>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</si>
  <si>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</si>
  <si>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</si>
  <si>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</si>
  <si>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</si>
  <si>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</si>
  <si>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</si>
  <si>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</si>
  <si>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</si>
  <si>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 xml:space="preserve">Cotswold League 2026 Gala Results Calculator </t>
  </si>
  <si>
    <t>Lane 5</t>
  </si>
  <si>
    <t>Lane 6</t>
  </si>
  <si>
    <t>5th Places</t>
  </si>
  <si>
    <t>6th Places</t>
  </si>
  <si>
    <t>Lane 7</t>
  </si>
  <si>
    <t>Lane 8</t>
  </si>
  <si>
    <t>7th Places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</si>
  <si>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</si>
  <si>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</si>
  <si>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</si>
  <si>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</si>
  <si>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</si>
  <si>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</si>
  <si>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</si>
  <si>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</si>
  <si>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</si>
  <si>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 xml:space="preserve">Cotswold Gala - Results </t>
  </si>
  <si>
    <t>Points</t>
  </si>
  <si>
    <t>POINTS TOTAL ADJUSTED</t>
  </si>
  <si>
    <t>Clevedon</t>
  </si>
  <si>
    <t>Severnside</t>
  </si>
  <si>
    <t>Bridgewater</t>
  </si>
  <si>
    <t>Corsham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</si>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</sst>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6" fillId="2" borderId="7" xfId="0" applyFont="1" applyFill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2" fillId="0" borderId="8" xfId="0" applyFont="1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4" xfId="0" applyFont="1" applyBorder="1"/>
    <xf numFmtId="1" fontId="10" fillId="0" borderId="4" xfId="0" applyNumberFormat="1" applyFont="1" applyBorder="1" applyAlignment="1">
      <alignment horizontal="center"/>
    </xf>
    <xf numFmtId="0" fontId="10" fillId="0" borderId="7" xfId="0" applyFont="1" applyBorder="1"/>
    <xf numFmtId="0" fontId="10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9" fillId="0" borderId="7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30602</xdr:colOff>
      <xdr:row>11</xdr:row>
      <xdr:rowOff>160443</xdr:rowOff>
    </xdr:from>
    <xdr:to>
      <xdr:col>24</xdr:col>
      <xdr:colOff>887470</xdr:colOff>
      <xdr:row>40</xdr:row>
      <xdr:rowOff>107107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3403855" y="2241407"/>
          <a:ext cx="7007952" cy="527148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378814</xdr:colOff>
      <xdr:row>41</xdr:row>
      <xdr:rowOff>38034</xdr:rowOff>
    </xdr:from>
    <xdr:to>
      <xdr:col>19</xdr:col>
      <xdr:colOff>6885</xdr:colOff>
      <xdr:row>43</xdr:row>
      <xdr:rowOff>18077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6200260" y="7627432"/>
          <a:ext cx="1341806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536842</xdr:colOff>
      <xdr:row>41</xdr:row>
      <xdr:rowOff>44384</xdr:rowOff>
    </xdr:from>
    <xdr:to>
      <xdr:col>21</xdr:col>
      <xdr:colOff>164914</xdr:colOff>
      <xdr:row>43</xdr:row>
      <xdr:rowOff>24427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8072023" y="7633782"/>
          <a:ext cx="1341807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612323</xdr:colOff>
      <xdr:row>38</xdr:row>
      <xdr:rowOff>171448</xdr:rowOff>
    </xdr:from>
    <xdr:to>
      <xdr:col>22</xdr:col>
      <xdr:colOff>394609</xdr:colOff>
      <xdr:row>40</xdr:row>
      <xdr:rowOff>133348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9571609" y="7791448"/>
          <a:ext cx="1342571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79829</xdr:colOff>
      <xdr:row>38</xdr:row>
      <xdr:rowOff>141513</xdr:rowOff>
    </xdr:from>
    <xdr:to>
      <xdr:col>24</xdr:col>
      <xdr:colOff>533400</xdr:colOff>
      <xdr:row>40</xdr:row>
      <xdr:rowOff>103413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21415829" y="7761513"/>
          <a:ext cx="1270000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18</xdr:col>
      <xdr:colOff>36284</xdr:colOff>
      <xdr:row>9</xdr:row>
      <xdr:rowOff>126999</xdr:rowOff>
    </xdr:from>
    <xdr:to>
      <xdr:col>28</xdr:col>
      <xdr:colOff>-1</xdr:colOff>
      <xdr:row>37</xdr:row>
      <xdr:rowOff>90714</xdr:rowOff>
    </xdr:to>
    <xdr:sp macro="" textlink="">
      <xdr:nvSpPr>
        <xdr:cNvPr id="6" name="Rectangle: Rounded Corners 1">
          <a:extLst>
            <a:ext uri="{FF2B5EF4-FFF2-40B4-BE49-F238E27FC236}">
              <a16:creationId xmlns:a16="http://schemas.microsoft.com/office/drawing/2014/main" id="{F846BC99-C363-7B4A-9ACC-AD50C430FAD6}"/>
            </a:ext>
          </a:extLst>
        </xdr:cNvPr>
        <xdr:cNvSpPr/>
      </xdr:nvSpPr>
      <xdr:spPr>
        <a:xfrm>
          <a:off x="16074570" y="1959428"/>
          <a:ext cx="6694715" cy="55517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1518052</xdr:colOff>
      <xdr:row>42</xdr:row>
      <xdr:rowOff>37780</xdr:rowOff>
    </xdr:from>
    <xdr:to>
      <xdr:col>25</xdr:col>
      <xdr:colOff>288650</xdr:colOff>
      <xdr:row>44</xdr:row>
      <xdr:rowOff>5926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21821119" y="7911780"/>
          <a:ext cx="1344464" cy="34067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26</xdr:col>
      <xdr:colOff>544421</xdr:colOff>
      <xdr:row>41</xdr:row>
      <xdr:rowOff>182373</xdr:rowOff>
    </xdr:from>
    <xdr:to>
      <xdr:col>28</xdr:col>
      <xdr:colOff>168625</xdr:colOff>
      <xdr:row>43</xdr:row>
      <xdr:rowOff>151628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4217221" y="7870106"/>
          <a:ext cx="1351404" cy="3417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21</xdr:col>
      <xdr:colOff>253999</xdr:colOff>
      <xdr:row>11</xdr:row>
      <xdr:rowOff>83277</xdr:rowOff>
    </xdr:from>
    <xdr:to>
      <xdr:col>31</xdr:col>
      <xdr:colOff>220133</xdr:colOff>
      <xdr:row>41</xdr:row>
      <xdr:rowOff>67734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AE6936CA-3124-5C4E-93BC-B69B5BC491D8}"/>
            </a:ext>
          </a:extLst>
        </xdr:cNvPr>
        <xdr:cNvSpPr/>
      </xdr:nvSpPr>
      <xdr:spPr>
        <a:xfrm>
          <a:off x="19202399" y="2183010"/>
          <a:ext cx="6671734" cy="557245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00@25.33" TargetMode="External"/><Relationship Id="rId1" Type="http://schemas.openxmlformats.org/officeDocument/2006/relationships/hyperlink" Target="mailto:00@45.13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AC116"/>
  <sheetViews>
    <sheetView tabSelected="1" zoomScale="83" zoomScaleNormal="70" workbookViewId="0">
      <pane ySplit="5" topLeftCell="A6" activePane="bottomLeft" state="frozen"/>
      <selection pane="bottomLeft" activeCell="F119" sqref="F119"/>
    </sheetView>
  </sheetViews>
  <sheetFormatPr defaultColWidth="9" defaultRowHeight="14.4" x14ac:dyDescent="0.3"/>
  <cols>
    <col min="1" max="1" width="9.6640625" bestFit="1" customWidth="1"/>
    <col min="2" max="2" width="28" bestFit="1" customWidth="1"/>
    <col min="3" max="3" width="13.109375" bestFit="1" customWidth="1"/>
    <col min="4" max="4" width="12.44140625" bestFit="1" customWidth="1"/>
    <col min="5" max="11" width="10.33203125" customWidth="1"/>
    <col min="12" max="12" width="10.33203125" style="33" customWidth="1"/>
    <col min="13" max="13" width="20.44140625" bestFit="1" customWidth="1"/>
    <col min="14" max="14" width="3.44140625" customWidth="1"/>
    <col min="15" max="15" width="6.6640625" bestFit="1" customWidth="1"/>
    <col min="16" max="16" width="6.33203125" bestFit="1" customWidth="1"/>
    <col min="17" max="17" width="14.6640625" bestFit="1" customWidth="1"/>
    <col min="18" max="18" width="9" bestFit="1" customWidth="1"/>
    <col min="19" max="19" width="9.6640625" bestFit="1" customWidth="1"/>
    <col min="20" max="21" width="9.109375" bestFit="1" customWidth="1"/>
    <col min="22" max="22" width="4.6640625" bestFit="1" customWidth="1"/>
    <col min="23" max="23" width="7.6640625" bestFit="1" customWidth="1"/>
    <col min="24" max="24" width="10.33203125" bestFit="1" customWidth="1"/>
    <col min="25" max="28" width="12" bestFit="1" customWidth="1"/>
    <col min="29" max="29" width="15.88671875" bestFit="1" customWidth="1"/>
  </cols>
  <sheetData>
    <row r="1" spans="1:29" ht="18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3" spans="1:29" x14ac:dyDescent="0.3">
      <c r="A3" s="52"/>
      <c r="B3" s="52"/>
      <c r="C3" s="52"/>
      <c r="D3" s="52"/>
      <c r="E3" s="47" t="s">
        <v>89</v>
      </c>
      <c r="F3" s="48"/>
      <c r="G3" s="47" t="s">
        <v>90</v>
      </c>
      <c r="H3" s="48"/>
      <c r="I3" s="47" t="s">
        <v>93</v>
      </c>
      <c r="J3" s="48"/>
      <c r="K3" s="49" t="s">
        <v>94</v>
      </c>
      <c r="L3" s="49"/>
    </row>
    <row r="4" spans="1:29" x14ac:dyDescent="0.3">
      <c r="A4" s="53"/>
      <c r="B4" s="53"/>
      <c r="C4" s="53"/>
      <c r="D4" s="53"/>
      <c r="E4" s="45" t="s">
        <v>108</v>
      </c>
      <c r="F4" s="46"/>
      <c r="G4" s="45" t="s">
        <v>109</v>
      </c>
      <c r="H4" s="46"/>
      <c r="I4" s="45" t="s">
        <v>110</v>
      </c>
      <c r="J4" s="46"/>
      <c r="K4" s="45" t="s">
        <v>111</v>
      </c>
      <c r="L4" s="46"/>
    </row>
    <row r="5" spans="1:29" x14ac:dyDescent="0.3">
      <c r="A5" s="1" t="s">
        <v>6</v>
      </c>
      <c r="B5" s="1" t="s">
        <v>7</v>
      </c>
      <c r="C5" s="1" t="s">
        <v>8</v>
      </c>
      <c r="D5" s="1" t="s">
        <v>9</v>
      </c>
      <c r="E5" s="47" t="s">
        <v>10</v>
      </c>
      <c r="F5" s="48"/>
      <c r="G5" s="47" t="s">
        <v>10</v>
      </c>
      <c r="H5" s="48"/>
      <c r="I5" s="47" t="s">
        <v>10</v>
      </c>
      <c r="J5" s="48"/>
      <c r="K5" s="49" t="s">
        <v>10</v>
      </c>
      <c r="L5" s="49"/>
    </row>
    <row r="6" spans="1:29" x14ac:dyDescent="0.3">
      <c r="A6" s="5">
        <v>1</v>
      </c>
      <c r="B6" s="6" t="s">
        <v>11</v>
      </c>
      <c r="C6" s="2" t="s">
        <v>12</v>
      </c>
      <c r="D6" s="16">
        <v>8.9988425925925924E-4</v>
      </c>
      <c r="E6" s="44">
        <v>9.9918981481481473E-4</v>
      </c>
      <c r="F6" s="44"/>
      <c r="G6" s="44">
        <v>9.2939814814814816E-4</v>
      </c>
      <c r="H6" s="44"/>
      <c r="I6" s="44">
        <v>9.364583333333333E-4</v>
      </c>
      <c r="J6" s="44"/>
      <c r="K6" s="44">
        <v>1.0594907407407406E-3</v>
      </c>
      <c r="L6" s="41"/>
      <c r="M6" s="30" t="s">
        <v>13</v>
      </c>
      <c r="P6" s="47" t="s">
        <v>14</v>
      </c>
      <c r="Q6" s="51"/>
      <c r="R6" s="51"/>
      <c r="S6" s="51"/>
      <c r="T6" s="51"/>
      <c r="U6" s="51"/>
      <c r="V6" s="51"/>
      <c r="W6" s="48"/>
      <c r="X6" s="29"/>
    </row>
    <row r="7" spans="1:29" x14ac:dyDescent="0.3">
      <c r="A7" s="7"/>
      <c r="B7" s="8"/>
      <c r="C7" s="4" t="s">
        <v>15</v>
      </c>
      <c r="D7" s="16"/>
      <c r="E7" s="15">
        <f>IF(E6="DQ",0,IF(E6&lt;$D$6,0,1+COUNTIFS($E$6:$K$6,"DQ")+COUNTIFS($E$6:$K$6,"&lt;"&amp;$D$6)+COUNTIF($E$6:$K$6,"&gt;"&amp;E$6)))</f>
        <v>2</v>
      </c>
      <c r="F7" s="14" cm="1">
        <f t="array" ref="F7">_xlfn.IFS(E7=4,1,E7=3,2,E7=2,3,E7=1,4,E6&lt;$D$6,"Too Fast",E6="DQ","DQ")</f>
        <v>3</v>
      </c>
      <c r="G7" s="15">
        <f t="shared" ref="G7" si="0">IF(G6="DQ",0,IF(G6&lt;$D$6,0,1+COUNTIFS($E$6:$K$6,"DQ")+COUNTIFS($E$6:$K$6,"&lt;"&amp;$D$6)+COUNTIF($E$6:$K$6,"&gt;"&amp;G$6)))</f>
        <v>4</v>
      </c>
      <c r="H7" s="14" cm="1">
        <f t="array" ref="H7">_xlfn.IFS(G7=4,1,G7=3,2,G7=2,3,G7=1,4,G6&lt;$D$6,"Too Fast",G6="DQ","DQ")</f>
        <v>1</v>
      </c>
      <c r="I7" s="15">
        <f t="shared" ref="I7" si="1">IF(I6="DQ",0,IF(I6&lt;$D$6,0,1+COUNTIFS($E$6:$K$6,"DQ")+COUNTIFS($E$6:$K$6,"&lt;"&amp;$D$6)+COUNTIF($E$6:$K$6,"&gt;"&amp;I$6)))</f>
        <v>3</v>
      </c>
      <c r="J7" s="14" cm="1">
        <f t="array" ref="J7">_xlfn.IFS(I7=4,1,I7=3,2,I7=2,3,I7=1,4,I6&lt;$D$6,"Too Fast",I6="DQ","DQ")</f>
        <v>2</v>
      </c>
      <c r="K7" s="15">
        <f t="shared" ref="K7" si="2">IF(K6="DQ",0,IF(K6&lt;$D$6,0,1+COUNTIFS($E$6:$K$6,"DQ")+COUNTIFS($E$6:$K$6,"&lt;"&amp;$D$6)+COUNTIF($E$6:$K$6,"&gt;"&amp;K$6)))</f>
        <v>1</v>
      </c>
      <c r="L7" s="25" cm="1">
        <f t="array" ref="L7">_xlfn.IFS(K7=4,1,K7=3,2,K7=2,3,K7=1,4,K6&lt;$D$6,"Too Fast",K6="DQ","DQ")</f>
        <v>4</v>
      </c>
      <c r="M7" s="31" t="b">
        <v>1</v>
      </c>
      <c r="P7" s="8"/>
      <c r="Q7" s="8"/>
      <c r="R7" s="17" t="s">
        <v>16</v>
      </c>
      <c r="S7" s="17" t="s">
        <v>17</v>
      </c>
      <c r="T7" s="17" t="s">
        <v>18</v>
      </c>
      <c r="U7" s="17" t="s">
        <v>19</v>
      </c>
      <c r="V7" s="17" t="s">
        <v>20</v>
      </c>
      <c r="W7" s="17" t="s">
        <v>21</v>
      </c>
      <c r="X7" s="40" t="s">
        <v>22</v>
      </c>
      <c r="Y7" s="17" t="s">
        <v>23</v>
      </c>
      <c r="Z7" s="17" t="s">
        <v>24</v>
      </c>
      <c r="AA7" s="17" t="s">
        <v>25</v>
      </c>
      <c r="AB7" s="17" t="s">
        <v>26</v>
      </c>
      <c r="AC7" s="34" t="s">
        <v>27</v>
      </c>
    </row>
    <row r="8" spans="1:29" x14ac:dyDescent="0.3">
      <c r="A8" s="5">
        <v>2</v>
      </c>
      <c r="B8" s="10" t="s">
        <v>28</v>
      </c>
      <c r="C8" s="2" t="s">
        <v>12</v>
      </c>
      <c r="D8" s="16">
        <v>8.1469907407407402E-4</v>
      </c>
      <c r="E8" s="44">
        <v>8.7453703703703706E-4</v>
      </c>
      <c r="F8" s="44"/>
      <c r="G8" s="44">
        <v>8.559027777777778E-4</v>
      </c>
      <c r="H8" s="44"/>
      <c r="I8" s="44">
        <v>8.3807870370370362E-4</v>
      </c>
      <c r="J8" s="44"/>
      <c r="K8" s="44">
        <v>1.0050925925925926E-3</v>
      </c>
      <c r="L8" s="41"/>
      <c r="M8" s="28"/>
      <c r="P8" s="17" t="str">
        <f>E3</f>
        <v>Lane 5</v>
      </c>
      <c r="Q8" s="17" t="str">
        <f>E4</f>
        <v>Clevedon</v>
      </c>
      <c r="R8" s="20">
        <f>COUNTIF($F7:$F115,1)</f>
        <v>13</v>
      </c>
      <c r="S8" s="20">
        <f>COUNTIF($F7:$F115,2)</f>
        <v>11</v>
      </c>
      <c r="T8" s="20">
        <f>COUNTIF($F7:$F115,3)</f>
        <v>22</v>
      </c>
      <c r="U8" s="20">
        <f>COUNTIF($F7:$F115,4)</f>
        <v>7</v>
      </c>
      <c r="V8" s="20">
        <f>COUNTIF($F7:$F115,"DQ")</f>
        <v>0</v>
      </c>
      <c r="W8" s="20">
        <f>COUNTIF($F7:$F115,"Too Fast")</f>
        <v>0</v>
      </c>
      <c r="X8" s="2">
        <f>E116</f>
        <v>136</v>
      </c>
      <c r="Y8" s="35">
        <f>($E$26&gt;E26)+($G$26&gt;E26)+($I$26&gt;E26)+($K$26&gt;E26)+1</f>
        <v>3</v>
      </c>
      <c r="Z8" s="37">
        <f>($E$47&gt;E47)+($G$47&gt;E47)+($I$47&gt;E47)+($K$47&gt;E47)+1</f>
        <v>3</v>
      </c>
      <c r="AA8" s="37">
        <f>($E$68&gt;E68)+($G$68&gt;E68)+($I$68&gt;E68)+($K$68&gt;E68)+1</f>
        <v>2</v>
      </c>
      <c r="AB8" s="37">
        <f>($E$89&gt;E89)+($G$89&gt;E89)+($I$89&gt;E89)+($K$89&gt;E89)+1</f>
        <v>3</v>
      </c>
      <c r="AC8" s="37">
        <f>($E$116&gt;E116)+($G$116&gt;E116)+($I$116&gt;E116)+($K$116&gt;E116)+1</f>
        <v>3</v>
      </c>
    </row>
    <row r="9" spans="1:29" x14ac:dyDescent="0.3">
      <c r="A9" s="7"/>
      <c r="B9" s="8"/>
      <c r="C9" s="4" t="s">
        <v>15</v>
      </c>
      <c r="D9" s="16"/>
      <c r="E9" s="11">
        <f>IF(E8="DQ",0,IF(E8&lt;$D$8,0,1+COUNTIFS($E$8:$K$8,"DQ")+COUNTIFS($E$8:$K$8,"&lt;"&amp;$D$8)+COUNTIF($E$8:$K$8,"&gt;"&amp;E$8)))</f>
        <v>2</v>
      </c>
      <c r="F9" s="14" cm="1">
        <f t="array" ref="F9">_xlfn.IFS(E9=4,1,E9=3,2,E9=2,3,E9=1,4,E8&lt;$D$8,"Too Fast",E8="DQ","DQ")</f>
        <v>3</v>
      </c>
      <c r="G9" s="11">
        <f t="shared" ref="G9" si="3">IF(G8="DQ",0,IF(G8&lt;$D$8,0,1+COUNTIFS($E$8:$K$8,"DQ")+COUNTIFS($E$8:$K$8,"&lt;"&amp;$D$8)+COUNTIF($E$8:$K$8,"&gt;"&amp;G$8)))</f>
        <v>3</v>
      </c>
      <c r="H9" s="14" cm="1">
        <f t="array" ref="H9">_xlfn.IFS(G9=4,1,G9=3,2,G9=2,3,G9=1,4,G8&lt;$D$8,"Too Fast",G8="DQ","DQ")</f>
        <v>2</v>
      </c>
      <c r="I9" s="11">
        <f t="shared" ref="I9" si="4">IF(I8="DQ",0,IF(I8&lt;$D$8,0,1+COUNTIFS($E$8:$K$8,"DQ")+COUNTIFS($E$8:$K$8,"&lt;"&amp;$D$8)+COUNTIF($E$8:$K$8,"&gt;"&amp;I$8)))</f>
        <v>4</v>
      </c>
      <c r="J9" s="14" cm="1">
        <f t="array" ref="J9">_xlfn.IFS(I9=4,1,I9=3,2,I9=2,3,I9=1,4,I8&lt;$D$8,"Too Fast",I8="DQ","DQ")</f>
        <v>1</v>
      </c>
      <c r="K9" s="11">
        <f t="shared" ref="K9" si="5">IF(K8="DQ",0,IF(K8&lt;$D$8,0,1+COUNTIFS($E$8:$K$8,"DQ")+COUNTIFS($E$8:$K$8,"&lt;"&amp;$D$8)+COUNTIF($E$8:$K$8,"&gt;"&amp;K$8)))</f>
        <v>1</v>
      </c>
      <c r="L9" s="25" cm="1">
        <f t="array" ref="L9">_xlfn.IFS(K9=4,1,K9=3,2,K9=2,3,K9=1,4,K8&lt;$D$8,"Too Fast",K8="DQ","DQ")</f>
        <v>4</v>
      </c>
      <c r="M9" s="31" t="b">
        <v>1</v>
      </c>
      <c r="P9" s="17" t="str">
        <f>G3</f>
        <v>Lane 6</v>
      </c>
      <c r="Q9" s="17" t="str">
        <f>G4</f>
        <v>Severnside</v>
      </c>
      <c r="R9" s="20">
        <f>COUNTIF($H7:$H115,1)</f>
        <v>19</v>
      </c>
      <c r="S9" s="20">
        <f>COUNTIF($H7:$H115,2)</f>
        <v>23</v>
      </c>
      <c r="T9" s="20">
        <f>COUNTIF($H7:$H115,3)</f>
        <v>9</v>
      </c>
      <c r="U9" s="20">
        <f>COUNTIF($H7:$H115,4)</f>
        <v>1</v>
      </c>
      <c r="V9" s="20">
        <f>COUNTIF($H7:$H115,"DQ")</f>
        <v>0</v>
      </c>
      <c r="W9" s="20">
        <f>COUNTIF($H7:$H115,"Too Fast")</f>
        <v>1</v>
      </c>
      <c r="X9" s="2">
        <f>G116</f>
        <v>164</v>
      </c>
      <c r="Y9" s="35">
        <f>($E$26&gt;G26)+($G$26&gt;G26)+($I$26&gt;G26)+($K$26&gt;G26)+1</f>
        <v>1</v>
      </c>
      <c r="Z9" s="37">
        <f>($E$47&gt;G47)+($G$47&gt;G47)+($I$47&gt;G47)+($K$47&gt;G47)+1</f>
        <v>1</v>
      </c>
      <c r="AA9" s="37">
        <f>($E$68&gt;G68)+($G$68&gt;G68)+($I$68&gt;G68)+($K$68&gt;G68)+1</f>
        <v>1</v>
      </c>
      <c r="AB9" s="37">
        <f>($E$89&gt;G89)+($G$89&gt;G89)+($I$89&gt;G89)+($K$89&gt;G89)+1</f>
        <v>1</v>
      </c>
      <c r="AC9" s="37">
        <f>($E$116&gt;G116)+($G$116&gt;G116)+($I$116&gt;G116)+($K$116&gt;G116)+1</f>
        <v>1</v>
      </c>
    </row>
    <row r="10" spans="1:29" x14ac:dyDescent="0.3">
      <c r="A10" s="5">
        <v>3</v>
      </c>
      <c r="B10" s="10" t="s">
        <v>29</v>
      </c>
      <c r="C10" s="2" t="s">
        <v>12</v>
      </c>
      <c r="D10" s="16">
        <v>8.7395833333333336E-4</v>
      </c>
      <c r="E10" s="44">
        <v>8.8194444444444453E-4</v>
      </c>
      <c r="F10" s="44"/>
      <c r="G10" s="44">
        <v>9.0069444444444442E-4</v>
      </c>
      <c r="H10" s="44"/>
      <c r="I10" s="44">
        <v>8.9293981481481483E-4</v>
      </c>
      <c r="J10" s="44"/>
      <c r="K10" s="44">
        <v>9.4699074074074065E-4</v>
      </c>
      <c r="L10" s="41"/>
      <c r="M10" s="28"/>
      <c r="P10" s="17" t="str">
        <f>I3</f>
        <v>Lane 7</v>
      </c>
      <c r="Q10" s="17" t="str">
        <f>I4</f>
        <v>Bridgewater</v>
      </c>
      <c r="R10" s="20">
        <f>COUNTIF($J7:$J115,1)</f>
        <v>18</v>
      </c>
      <c r="S10" s="20">
        <f>COUNTIF($J7:$J115,2)</f>
        <v>17</v>
      </c>
      <c r="T10" s="20">
        <f>COUNTIF($J7:$J115,3)</f>
        <v>14</v>
      </c>
      <c r="U10" s="20">
        <f>COUNTIF($J7:$J115,4)</f>
        <v>3</v>
      </c>
      <c r="V10" s="20">
        <f>COUNTIF($J7:$J115,"DQ")</f>
        <v>0</v>
      </c>
      <c r="W10" s="20">
        <f>COUNTIF($J7:$J115,"Too Fast")</f>
        <v>1</v>
      </c>
      <c r="X10" s="2">
        <f>I116</f>
        <v>154</v>
      </c>
      <c r="Y10" s="35">
        <f>($E$26&gt;I26)+($G$26&gt;I26)+($I$26&gt;I26)+($K$26&gt;I26)+1</f>
        <v>2</v>
      </c>
      <c r="Z10" s="37">
        <f>($E$47&gt;I47)+($G$47&gt;I47)+($I$47&gt;I47)+($K$47&gt;I47)+1</f>
        <v>2</v>
      </c>
      <c r="AA10" s="37">
        <f>($E$68&gt;I68)+($G$68&gt;I68)+($I$68&gt;I68)+($K$68&gt;I68)+1</f>
        <v>3</v>
      </c>
      <c r="AB10" s="37">
        <f>($E$89&gt;I89)+($G$89&gt;I89)+($I$89&gt;I89)+($K$89&gt;I89)+1</f>
        <v>2</v>
      </c>
      <c r="AC10" s="37">
        <f>($E$116&gt;I116)+($G$116&gt;I116)+($I$116&gt;I116)+($K$116&gt;I116)+1</f>
        <v>2</v>
      </c>
    </row>
    <row r="11" spans="1:29" x14ac:dyDescent="0.3">
      <c r="A11" s="7"/>
      <c r="B11" s="8"/>
      <c r="C11" s="4" t="s">
        <v>15</v>
      </c>
      <c r="D11" s="16"/>
      <c r="E11" s="9">
        <f>IF(E10="DQ",0,IF(E10&lt;$D$10,0,1+COUNTIFS($E$10:$K$10,"DQ")+COUNTIFS($E$10:$K$10,"&lt;"&amp;$D$10)+COUNTIF($E$10:$K$10,"&gt;"&amp;E$10)))</f>
        <v>4</v>
      </c>
      <c r="F11" s="14" cm="1">
        <f t="array" ref="F11">_xlfn.IFS(E11=4,1,E11=3,2,E11=2,3,E11=1,4,E10&lt;$D$10,"Too Fast",E10="DQ","DQ")</f>
        <v>1</v>
      </c>
      <c r="G11" s="9">
        <f>IF(G10="DQ",0,IF(G10&lt;$D$10,0,1+COUNTIFS($E$10:$K$10,"DQ")+COUNTIFS($E$10:$K$10,"&lt;"&amp;$D$10)+COUNTIF($E$10:$K$10,"&gt;"&amp;G$10)))</f>
        <v>2</v>
      </c>
      <c r="H11" s="14" cm="1">
        <f t="array" ref="H11">_xlfn.IFS(G11=4,1,G11=3,2,G11=2,3,G11=1,4,G10&lt;$D$10,"Too Fast",G10="DQ","DQ")</f>
        <v>3</v>
      </c>
      <c r="I11" s="9">
        <f>IF(I10="DQ",0,IF(I10&lt;$D$10,0,1+COUNTIFS($E$10:$K$10,"DQ")+COUNTIFS($E$10:$K$10,"&lt;"&amp;$D$10)+COUNTIF($E$10:$K$10,"&gt;"&amp;I$10)))</f>
        <v>3</v>
      </c>
      <c r="J11" s="14" cm="1">
        <f t="array" ref="J11">_xlfn.IFS(I11=4,1,I11=3,2,I11=2,3,I11=1,4,I10&lt;$D$10,"Too Fast",I10="DQ","DQ")</f>
        <v>2</v>
      </c>
      <c r="K11" s="9">
        <f>IF(K10="DQ",0,IF(K10&lt;$D$10,0,1+COUNTIFS($E$10:$K$10,"DQ")+COUNTIFS($E$10:$K$10,"&lt;"&amp;$D$10)+COUNTIF($E$10:$K$10,"&gt;"&amp;K$10)))</f>
        <v>1</v>
      </c>
      <c r="L11" s="25" cm="1">
        <f t="array" ref="L11">_xlfn.IFS(K11=4,1,K11=3,2,K11=2,3,K11=1,4,K10&lt;$D$10,"Too Fast",K10="DQ","DQ")</f>
        <v>4</v>
      </c>
      <c r="M11" s="31" t="b">
        <v>1</v>
      </c>
      <c r="P11" s="17" t="str">
        <f>K3</f>
        <v>Lane 8</v>
      </c>
      <c r="Q11" s="17" t="str">
        <f>K4</f>
        <v>Corsham</v>
      </c>
      <c r="R11" s="20">
        <f>COUNTIF($L7:$L115,1)</f>
        <v>3</v>
      </c>
      <c r="S11" s="20">
        <f>COUNTIF($L7:$L115,2)</f>
        <v>2</v>
      </c>
      <c r="T11" s="20">
        <f>COUNTIF($L7:$L115,3)</f>
        <v>8</v>
      </c>
      <c r="U11" s="20">
        <f>COUNTIF($L7:$L115,4)</f>
        <v>38</v>
      </c>
      <c r="V11" s="20">
        <f>COUNTIF($L7:$L115,"DQ")</f>
        <v>1</v>
      </c>
      <c r="W11" s="20">
        <f>COUNTIF($L7:$L115,"Too Fast")</f>
        <v>1</v>
      </c>
      <c r="X11" s="2">
        <f>K116</f>
        <v>72</v>
      </c>
      <c r="Y11" s="35">
        <f>($E$26&gt;K26)+($G$26&gt;K26)+($I$26&gt;K26)+($K$26&gt;K26)+1</f>
        <v>4</v>
      </c>
      <c r="Z11" s="37">
        <f>($E$47&gt;K47)+($G$47&gt;K47)+($I$47&gt;K47)+($K$47&gt;K47)+1</f>
        <v>4</v>
      </c>
      <c r="AA11" s="37">
        <f>($E$68&gt;K68)+($G$68&gt;K68)+($I$68&gt;K68)+($K$68&gt;K68)+1</f>
        <v>4</v>
      </c>
      <c r="AB11" s="37">
        <f>($E$89&gt;K89)+($G$89&gt;K89)+($I$89&gt;K89)+($K$89&gt;K89)+1</f>
        <v>4</v>
      </c>
      <c r="AC11" s="37">
        <f>($E$116&gt;K116)+($G$116&gt;K116)+($I$116&gt;K116)+($K$116&gt;K116)+1</f>
        <v>4</v>
      </c>
    </row>
    <row r="12" spans="1:29" x14ac:dyDescent="0.3">
      <c r="A12" s="5">
        <v>4</v>
      </c>
      <c r="B12" s="10" t="s">
        <v>30</v>
      </c>
      <c r="C12" s="2" t="s">
        <v>12</v>
      </c>
      <c r="D12" s="16">
        <v>7.6782407407407398E-4</v>
      </c>
      <c r="E12" s="44">
        <v>7.7442129629629627E-4</v>
      </c>
      <c r="F12" s="44"/>
      <c r="G12" s="44">
        <v>7.9108796296296295E-4</v>
      </c>
      <c r="H12" s="44"/>
      <c r="I12" s="44">
        <v>7.9907407407407401E-4</v>
      </c>
      <c r="J12" s="44"/>
      <c r="K12" s="44">
        <v>8.0405092592592594E-4</v>
      </c>
      <c r="L12" s="41"/>
      <c r="M12" s="28"/>
    </row>
    <row r="13" spans="1:29" x14ac:dyDescent="0.3">
      <c r="A13" s="7"/>
      <c r="B13" s="8"/>
      <c r="C13" s="4" t="s">
        <v>15</v>
      </c>
      <c r="D13" s="16"/>
      <c r="E13" s="9">
        <f>IF(E12="DQ",0,IF(E12&lt;$D$12,0,1+COUNTIFS($E$12:$K$12,"DQ")+COUNTIFS($E$12:$K$12,"&lt;"&amp;$D$12)+COUNTIF($E$12:$K$12,"&gt;"&amp;E$12)))</f>
        <v>4</v>
      </c>
      <c r="F13" s="14" cm="1">
        <f t="array" ref="F13">_xlfn.IFS(E13=4,1,E13=3,2,E13=2,3,E13=1,4,E12&lt;$D$12,"Too Fast",E12="DQ","DQ")</f>
        <v>1</v>
      </c>
      <c r="G13" s="9">
        <f t="shared" ref="G13" si="6">IF(G12="DQ",0,IF(G12&lt;$D$12,0,1+COUNTIFS($E$12:$K$12,"DQ")+COUNTIFS($E$12:$K$12,"&lt;"&amp;$D$12)+COUNTIF($E$12:$K$12,"&gt;"&amp;G$12)))</f>
        <v>3</v>
      </c>
      <c r="H13" s="14" cm="1">
        <f t="array" ref="H13">_xlfn.IFS(G13=4,1,G13=3,2,G13=2,3,G13=1,4,G12&lt;$D$12,"Too Fast",G12="DQ","DQ")</f>
        <v>2</v>
      </c>
      <c r="I13" s="9">
        <f t="shared" ref="I13" si="7">IF(I12="DQ",0,IF(I12&lt;$D$12,0,1+COUNTIFS($E$12:$K$12,"DQ")+COUNTIFS($E$12:$K$12,"&lt;"&amp;$D$12)+COUNTIF($E$12:$K$12,"&gt;"&amp;I$12)))</f>
        <v>2</v>
      </c>
      <c r="J13" s="14" cm="1">
        <f t="array" ref="J13">_xlfn.IFS(I13=4,1,I13=3,2,I13=2,3,I13=1,4,I12&lt;$D$12,"Too Fast",I12="DQ","DQ")</f>
        <v>3</v>
      </c>
      <c r="K13" s="9">
        <f t="shared" ref="K13" si="8">IF(K12="DQ",0,IF(K12&lt;$D$12,0,1+COUNTIFS($E$12:$K$12,"DQ")+COUNTIFS($E$12:$K$12,"&lt;"&amp;$D$12)+COUNTIF($E$12:$K$12,"&gt;"&amp;K$12)))</f>
        <v>1</v>
      </c>
      <c r="L13" s="25" cm="1">
        <f t="array" ref="L13">_xlfn.IFS(K13=4,1,K13=3,2,K13=2,3,K13=1,4,K12&lt;$D$12,"Too Fast",K12="DQ","DQ")</f>
        <v>4</v>
      </c>
      <c r="M13" s="31" t="b">
        <v>1</v>
      </c>
    </row>
    <row r="14" spans="1:29" x14ac:dyDescent="0.3">
      <c r="A14" s="5">
        <v>5</v>
      </c>
      <c r="B14" s="10" t="s">
        <v>31</v>
      </c>
      <c r="C14" s="2" t="s">
        <v>32</v>
      </c>
      <c r="D14" s="16">
        <v>1.7106481481481478E-4</v>
      </c>
      <c r="E14" s="44">
        <v>1.8599537037037038E-4</v>
      </c>
      <c r="F14" s="44"/>
      <c r="G14" s="44">
        <v>1.8043981481481481E-4</v>
      </c>
      <c r="H14" s="44"/>
      <c r="I14" s="44">
        <v>1.8194444444444445E-4</v>
      </c>
      <c r="J14" s="44"/>
      <c r="K14" s="44">
        <v>1.9386574074074073E-4</v>
      </c>
      <c r="L14" s="41"/>
      <c r="M14" s="28"/>
    </row>
    <row r="15" spans="1:29" x14ac:dyDescent="0.3">
      <c r="A15" s="7"/>
      <c r="B15" s="8"/>
      <c r="C15" s="4" t="s">
        <v>15</v>
      </c>
      <c r="D15" s="16"/>
      <c r="E15" s="9">
        <f>IF(E14="DQ",0,IF(E14&lt;$D$14,0,1+COUNTIFS($E$14:$K$14,"DQ")+COUNTIFS($E$14:$K$14,"&lt;"&amp;$D$14)+COUNTIF($E$14:$K$14,"&gt;"&amp;E$14)))</f>
        <v>2</v>
      </c>
      <c r="F15" s="14" cm="1">
        <f t="array" ref="F15">_xlfn.IFS(E15=4,1,E15=3,2,E15=2,3,E15=1,4,E14&lt;$D$14,"Too Fast",E14="DQ","DQ")</f>
        <v>3</v>
      </c>
      <c r="G15" s="9">
        <f t="shared" ref="G15" si="9">IF(G14="DQ",0,IF(G14&lt;$D$14,0,1+COUNTIFS($E$14:$K$14,"DQ")+COUNTIFS($E$14:$K$14,"&lt;"&amp;$D$14)+COUNTIF($E$14:$K$14,"&gt;"&amp;G$14)))</f>
        <v>4</v>
      </c>
      <c r="H15" s="14" cm="1">
        <f t="array" ref="H15">_xlfn.IFS(G15=4,1,G15=3,2,G15=2,3,G15=1,4,G14&lt;$D$14,"Too Fast",G14="DQ","DQ")</f>
        <v>1</v>
      </c>
      <c r="I15" s="9">
        <f t="shared" ref="I15" si="10">IF(I14="DQ",0,IF(I14&lt;$D$14,0,1+COUNTIFS($E$14:$K$14,"DQ")+COUNTIFS($E$14:$K$14,"&lt;"&amp;$D$14)+COUNTIF($E$14:$K$14,"&gt;"&amp;I$14)))</f>
        <v>3</v>
      </c>
      <c r="J15" s="14" cm="1">
        <f t="array" ref="J15">_xlfn.IFS(I15=4,1,I15=3,2,I15=2,3,I15=1,4,I14&lt;$D$14,"Too Fast",I14="DQ","DQ")</f>
        <v>2</v>
      </c>
      <c r="K15" s="9">
        <f t="shared" ref="K15" si="11">IF(K14="DQ",0,IF(K14&lt;$D$14,0,1+COUNTIFS($E$14:$K$14,"DQ")+COUNTIFS($E$14:$K$14,"&lt;"&amp;$D$14)+COUNTIF($E$14:$K$14,"&gt;"&amp;K$14)))</f>
        <v>1</v>
      </c>
      <c r="L15" s="25" cm="1">
        <f t="array" ref="L15">_xlfn.IFS(K15=4,1,K15=3,2,K15=2,3,K15=1,4,K14&lt;$D$14,"Too Fast",K14="DQ","DQ")</f>
        <v>4</v>
      </c>
      <c r="M15" s="31" t="b">
        <v>1</v>
      </c>
    </row>
    <row r="16" spans="1:29" x14ac:dyDescent="0.3">
      <c r="A16" s="5">
        <v>6</v>
      </c>
      <c r="B16" s="10" t="s">
        <v>33</v>
      </c>
      <c r="C16" s="2" t="s">
        <v>32</v>
      </c>
      <c r="D16" s="16">
        <v>1.7141203703703706E-4</v>
      </c>
      <c r="E16" s="44">
        <v>2.0196759259259259E-4</v>
      </c>
      <c r="F16" s="44"/>
      <c r="G16" s="44">
        <v>1.7175925925925925E-4</v>
      </c>
      <c r="H16" s="44"/>
      <c r="I16" s="44">
        <v>1.8344907407407408E-4</v>
      </c>
      <c r="J16" s="44"/>
      <c r="K16" s="44">
        <v>2.292824074074074E-4</v>
      </c>
      <c r="L16" s="41"/>
      <c r="M16" s="28"/>
    </row>
    <row r="17" spans="1:13" x14ac:dyDescent="0.3">
      <c r="A17" s="7"/>
      <c r="B17" s="8"/>
      <c r="C17" s="4" t="s">
        <v>15</v>
      </c>
      <c r="D17" s="16"/>
      <c r="E17" s="9">
        <f>IF(E16="DQ",0,IF(E16&lt;$D$16,0,1+COUNTIFS($E$16:$K$16,"DQ")+COUNTIFS($E$16:$K$16,"&lt;"&amp;$D$16)+COUNTIF($E$16:$K$16,"&gt;"&amp;E$16)))</f>
        <v>2</v>
      </c>
      <c r="F17" s="14" cm="1">
        <f t="array" ref="F17">_xlfn.IFS(E17=4,1,E17=3,2,E17=2,3,E17=1,4,E16&lt;$D$16,"Too Fast",E16="DQ","DQ")</f>
        <v>3</v>
      </c>
      <c r="G17" s="9">
        <f t="shared" ref="G17" si="12">IF(G16="DQ",0,IF(G16&lt;$D$16,0,1+COUNTIFS($E$16:$K$16,"DQ")+COUNTIFS($E$16:$K$16,"&lt;"&amp;$D$16)+COUNTIF($E$16:$K$16,"&gt;"&amp;G$16)))</f>
        <v>4</v>
      </c>
      <c r="H17" s="14" cm="1">
        <f t="array" ref="H17">_xlfn.IFS(G17=4,1,G17=3,2,G17=2,3,G17=1,4,G16&lt;$D$16,"Too Fast",G16="DQ","DQ")</f>
        <v>1</v>
      </c>
      <c r="I17" s="9">
        <f t="shared" ref="I17" si="13">IF(I16="DQ",0,IF(I16&lt;$D$16,0,1+COUNTIFS($E$16:$K$16,"DQ")+COUNTIFS($E$16:$K$16,"&lt;"&amp;$D$16)+COUNTIF($E$16:$K$16,"&gt;"&amp;I$16)))</f>
        <v>3</v>
      </c>
      <c r="J17" s="14" cm="1">
        <f t="array" ref="J17">_xlfn.IFS(I17=4,1,I17=3,2,I17=2,3,I17=1,4,I16&lt;$D$16,"Too Fast",I16="DQ","DQ")</f>
        <v>2</v>
      </c>
      <c r="K17" s="9">
        <f t="shared" ref="K17" si="14">IF(K16="DQ",0,IF(K16&lt;$D$16,0,1+COUNTIFS($E$16:$K$16,"DQ")+COUNTIFS($E$16:$K$16,"&lt;"&amp;$D$16)+COUNTIF($E$16:$K$16,"&gt;"&amp;K$16)))</f>
        <v>1</v>
      </c>
      <c r="L17" s="25" cm="1">
        <f t="array" ref="L17">_xlfn.IFS(K17=4,1,K17=3,2,K17=2,3,K17=1,4,K16&lt;$D$16,"Too Fast",K16="DQ","DQ")</f>
        <v>4</v>
      </c>
      <c r="M17" s="31" t="b">
        <v>1</v>
      </c>
    </row>
    <row r="18" spans="1:13" x14ac:dyDescent="0.3">
      <c r="A18" s="5">
        <v>7</v>
      </c>
      <c r="B18" s="10" t="s">
        <v>34</v>
      </c>
      <c r="C18" s="2" t="s">
        <v>35</v>
      </c>
      <c r="D18" s="16">
        <v>4.8263888888888895E-4</v>
      </c>
      <c r="E18" s="44">
        <v>5.3321759259259262E-4</v>
      </c>
      <c r="F18" s="44"/>
      <c r="G18" s="44">
        <v>5.141203703703704E-4</v>
      </c>
      <c r="H18" s="44"/>
      <c r="I18" s="44">
        <v>5.1064814814814809E-4</v>
      </c>
      <c r="J18" s="44"/>
      <c r="K18" s="44">
        <v>5.9768518518518515E-4</v>
      </c>
      <c r="L18" s="41"/>
      <c r="M18" s="28"/>
    </row>
    <row r="19" spans="1:13" x14ac:dyDescent="0.3">
      <c r="A19" s="7"/>
      <c r="B19" s="8"/>
      <c r="C19" s="4" t="s">
        <v>15</v>
      </c>
      <c r="D19" s="16"/>
      <c r="E19" s="9">
        <f>IF(E18="DQ",0,IF(E18&lt;$D$18,0,1+COUNTIFS($E$18:$K$18,"DQ")+COUNTIFS($E$18:$K$18,"&lt;"&amp;$D$18)+COUNTIF($E$18:$K$18,"&gt;"&amp;E$18)))</f>
        <v>2</v>
      </c>
      <c r="F19" s="14" cm="1">
        <f t="array" ref="F19">_xlfn.IFS(E19=4,1,E19=3,2,E19=2,3,E19=1,4,E18&lt;$D$18,"Too Fast",E18="DQ","DQ")</f>
        <v>3</v>
      </c>
      <c r="G19" s="9">
        <f t="shared" ref="G19" si="15">IF(G18="DQ",0,IF(G18&lt;$D$18,0,1+COUNTIFS($E$18:$K$18,"DQ")+COUNTIFS($E$18:$K$18,"&lt;"&amp;$D$18)+COUNTIF($E$18:$K$18,"&gt;"&amp;G$18)))</f>
        <v>3</v>
      </c>
      <c r="H19" s="14" cm="1">
        <f t="array" ref="H19">_xlfn.IFS(G19=4,1,G19=3,2,G19=2,3,G19=1,4,G18&lt;$D$18,"Too Fast",G18="DQ","DQ")</f>
        <v>2</v>
      </c>
      <c r="I19" s="9">
        <f t="shared" ref="I19" si="16">IF(I18="DQ",0,IF(I18&lt;$D$18,0,1+COUNTIFS($E$18:$K$18,"DQ")+COUNTIFS($E$18:$K$18,"&lt;"&amp;$D$18)+COUNTIF($E$18:$K$18,"&gt;"&amp;I$18)))</f>
        <v>4</v>
      </c>
      <c r="J19" s="14" cm="1">
        <f t="array" ref="J19">_xlfn.IFS(I19=4,1,I19=3,2,I19=2,3,I19=1,4,I18&lt;$D$18,"Too Fast",I18="DQ","DQ")</f>
        <v>1</v>
      </c>
      <c r="K19" s="9">
        <f t="shared" ref="K19" si="17">IF(K18="DQ",0,IF(K18&lt;$D$18,0,1+COUNTIFS($E$18:$K$18,"DQ")+COUNTIFS($E$18:$K$18,"&lt;"&amp;$D$18)+COUNTIF($E$18:$K$18,"&gt;"&amp;K$18)))</f>
        <v>1</v>
      </c>
      <c r="L19" s="25" cm="1">
        <f t="array" ref="L19">_xlfn.IFS(K19=4,1,K19=3,2,K19=2,3,K19=1,4,K18&lt;$D$18,"Too Fast",K18="DQ","DQ")</f>
        <v>4</v>
      </c>
      <c r="M19" s="31" t="b">
        <v>1</v>
      </c>
    </row>
    <row r="20" spans="1:13" x14ac:dyDescent="0.3">
      <c r="A20" s="5">
        <v>8</v>
      </c>
      <c r="B20" s="10" t="s">
        <v>36</v>
      </c>
      <c r="C20" s="2" t="s">
        <v>35</v>
      </c>
      <c r="D20" s="16">
        <v>4.8379629629629624E-4</v>
      </c>
      <c r="E20" s="44">
        <v>6.4328703703703705E-4</v>
      </c>
      <c r="F20" s="44"/>
      <c r="G20" s="44">
        <v>5.2152777777777777E-4</v>
      </c>
      <c r="H20" s="44"/>
      <c r="I20" s="44">
        <v>6.0520833333333336E-4</v>
      </c>
      <c r="J20" s="44"/>
      <c r="K20" s="44">
        <v>4.9456018518518512E-4</v>
      </c>
      <c r="L20" s="41"/>
      <c r="M20" s="28"/>
    </row>
    <row r="21" spans="1:13" x14ac:dyDescent="0.3">
      <c r="A21" s="7"/>
      <c r="B21" s="8"/>
      <c r="C21" s="4" t="s">
        <v>15</v>
      </c>
      <c r="D21" s="16"/>
      <c r="E21" s="9">
        <f>IF(E20="DQ",0,IF(E20&lt;$D$20,0,1+COUNTIFS($E$20:$K$20,"DQ")+COUNTIFS($E$20:$K$20,"&lt;"&amp;$D$20)+COUNTIF($E$20:$K$20,"&gt;"&amp;E$20)))</f>
        <v>1</v>
      </c>
      <c r="F21" s="14" cm="1">
        <f t="array" ref="F21">_xlfn.IFS(E21=4,1,E21=3,2,E21=2,3,E21=1,4,E20&lt;$D$20,"Too Fast",E20="DQ","DQ")</f>
        <v>4</v>
      </c>
      <c r="G21" s="9">
        <f t="shared" ref="G21" si="18">IF(G20="DQ",0,IF(G20&lt;$D$20,0,1+COUNTIFS($E$20:$K$20,"DQ")+COUNTIFS($E$20:$K$20,"&lt;"&amp;$D$20)+COUNTIF($E$20:$K$20,"&gt;"&amp;G$20)))</f>
        <v>3</v>
      </c>
      <c r="H21" s="14" cm="1">
        <f t="array" ref="H21">_xlfn.IFS(G21=4,1,G21=3,2,G21=2,3,G21=1,4,G20&lt;$D$20,"Too Fast",G20="DQ","DQ")</f>
        <v>2</v>
      </c>
      <c r="I21" s="9">
        <f t="shared" ref="I21" si="19">IF(I20="DQ",0,IF(I20&lt;$D$20,0,1+COUNTIFS($E$20:$K$20,"DQ")+COUNTIFS($E$20:$K$20,"&lt;"&amp;$D$20)+COUNTIF($E$20:$K$20,"&gt;"&amp;I$20)))</f>
        <v>2</v>
      </c>
      <c r="J21" s="14" cm="1">
        <f t="array" ref="J21">_xlfn.IFS(I21=4,1,I21=3,2,I21=2,3,I21=1,4,I20&lt;$D$20,"Too Fast",I20="DQ","DQ")</f>
        <v>3</v>
      </c>
      <c r="K21" s="9">
        <f t="shared" ref="K21" si="20">IF(K20="DQ",0,IF(K20&lt;$D$20,0,1+COUNTIFS($E$20:$K$20,"DQ")+COUNTIFS($E$20:$K$20,"&lt;"&amp;$D$20)+COUNTIF($E$20:$K$20,"&gt;"&amp;K$20)))</f>
        <v>4</v>
      </c>
      <c r="L21" s="25" cm="1">
        <f t="array" ref="L21">_xlfn.IFS(K21=4,1,K21=3,2,K21=2,3,K21=1,4,K20&lt;$D$20,"Too Fast",K20="DQ","DQ")</f>
        <v>1</v>
      </c>
      <c r="M21" s="31" t="b">
        <v>1</v>
      </c>
    </row>
    <row r="22" spans="1:13" x14ac:dyDescent="0.3">
      <c r="A22" s="5">
        <v>9</v>
      </c>
      <c r="B22" s="10" t="s">
        <v>37</v>
      </c>
      <c r="C22" s="2" t="s">
        <v>35</v>
      </c>
      <c r="D22" s="16">
        <v>3.9120370370370367E-4</v>
      </c>
      <c r="E22" s="44">
        <v>4.0740740740740744E-4</v>
      </c>
      <c r="F22" s="44"/>
      <c r="G22" s="44">
        <v>4.2476851851851855E-4</v>
      </c>
      <c r="H22" s="44"/>
      <c r="I22" s="44">
        <v>4.7951388888888886E-4</v>
      </c>
      <c r="J22" s="44"/>
      <c r="K22" s="44">
        <v>4.878472222222222E-4</v>
      </c>
      <c r="L22" s="41"/>
      <c r="M22" s="28"/>
    </row>
    <row r="23" spans="1:13" x14ac:dyDescent="0.3">
      <c r="A23" s="7"/>
      <c r="B23" s="8"/>
      <c r="C23" s="4" t="s">
        <v>15</v>
      </c>
      <c r="D23" s="16"/>
      <c r="E23" s="9">
        <f>IF(E22="DQ",0,IF(E22&lt;$D$22,0,1+COUNTIFS($E$22:$K$22,"DQ")+COUNTIFS($E$22:$K$22,"&lt;"&amp;$D$22)+COUNTIF($E$22:$K$22,"&gt;"&amp;E$22)))</f>
        <v>4</v>
      </c>
      <c r="F23" s="14" cm="1">
        <f t="array" ref="F23">_xlfn.IFS(E23=4,1,E23=3,2,E23=2,3,E23=1,4,E22&lt;$D$22,"Too Fast",E22="DQ","DQ")</f>
        <v>1</v>
      </c>
      <c r="G23" s="9">
        <f t="shared" ref="G23" si="21">IF(G22="DQ",0,IF(G22&lt;$D$22,0,1+COUNTIFS($E$22:$K$22,"DQ")+COUNTIFS($E$22:$K$22,"&lt;"&amp;$D$22)+COUNTIF($E$22:$K$22,"&gt;"&amp;G$22)))</f>
        <v>3</v>
      </c>
      <c r="H23" s="14" cm="1">
        <f t="array" ref="H23">_xlfn.IFS(G23=4,1,G23=3,2,G23=2,3,G23=1,4,G22&lt;$D$22,"Too Fast",G22="DQ","DQ")</f>
        <v>2</v>
      </c>
      <c r="I23" s="9">
        <f t="shared" ref="I23" si="22">IF(I22="DQ",0,IF(I22&lt;$D$22,0,1+COUNTIFS($E$22:$K$22,"DQ")+COUNTIFS($E$22:$K$22,"&lt;"&amp;$D$22)+COUNTIF($E$22:$K$22,"&gt;"&amp;I$22)))</f>
        <v>2</v>
      </c>
      <c r="J23" s="14" cm="1">
        <f t="array" ref="J23">_xlfn.IFS(I23=4,1,I23=3,2,I23=2,3,I23=1,4,I22&lt;$D$22,"Too Fast",I22="DQ","DQ")</f>
        <v>3</v>
      </c>
      <c r="K23" s="9">
        <f t="shared" ref="K23" si="23">IF(K22="DQ",0,IF(K22&lt;$D$22,0,1+COUNTIFS($E$22:$K$22,"DQ")+COUNTIFS($E$22:$K$22,"&lt;"&amp;$D$22)+COUNTIF($E$22:$K$22,"&gt;"&amp;K$22)))</f>
        <v>1</v>
      </c>
      <c r="L23" s="25" cm="1">
        <f t="array" ref="L23">_xlfn.IFS(K23=4,1,K23=3,2,K23=2,3,K23=1,4,K22&lt;$D$22,"Too Fast",K22="DQ","DQ")</f>
        <v>4</v>
      </c>
      <c r="M23" s="31" t="b">
        <v>1</v>
      </c>
    </row>
    <row r="24" spans="1:13" x14ac:dyDescent="0.3">
      <c r="A24" s="5">
        <v>10</v>
      </c>
      <c r="B24" s="10" t="s">
        <v>38</v>
      </c>
      <c r="C24" s="2" t="s">
        <v>35</v>
      </c>
      <c r="D24" s="16">
        <v>3.8310185185185186E-4</v>
      </c>
      <c r="E24" s="44">
        <v>4.9571759259259252E-4</v>
      </c>
      <c r="F24" s="44"/>
      <c r="G24" s="44">
        <v>4.4849537037037037E-4</v>
      </c>
      <c r="H24" s="44"/>
      <c r="I24" s="44">
        <v>4.0763888888888886E-4</v>
      </c>
      <c r="J24" s="44"/>
      <c r="K24" s="44">
        <v>6.3402777777777784E-4</v>
      </c>
      <c r="L24" s="41"/>
      <c r="M24" s="28"/>
    </row>
    <row r="25" spans="1:13" x14ac:dyDescent="0.3">
      <c r="A25" s="7"/>
      <c r="B25" s="8"/>
      <c r="C25" s="4" t="s">
        <v>15</v>
      </c>
      <c r="D25" s="16"/>
      <c r="E25" s="9">
        <f>IF(E24="DQ",0,IF(E24&lt;$D$24,0,1+COUNTIFS($E$24:$K$24,"DQ")+COUNTIFS($E$24:$K$24,"&lt;"&amp;$D$24)+COUNTIF($E$24:$K$24,"&gt;"&amp;E$24)))</f>
        <v>2</v>
      </c>
      <c r="F25" s="14" cm="1">
        <f t="array" ref="F25">_xlfn.IFS(E25=4,1,E25=3,2,E25=2,3,E25=1,4,E24&lt;$D$24,"Too Fast",E24="DQ","DQ")</f>
        <v>3</v>
      </c>
      <c r="G25" s="9">
        <f t="shared" ref="G25" si="24">IF(G24="DQ",0,IF(G24&lt;$D$24,0,1+COUNTIFS($E$24:$K$24,"DQ")+COUNTIFS($E$24:$K$24,"&lt;"&amp;$D$24)+COUNTIF($E$24:$K$24,"&gt;"&amp;G$24)))</f>
        <v>3</v>
      </c>
      <c r="H25" s="14" cm="1">
        <f t="array" ref="H25">_xlfn.IFS(G25=4,1,G25=3,2,G25=2,3,G25=1,4,G24&lt;$D$24,"Too Fast",G24="DQ","DQ")</f>
        <v>2</v>
      </c>
      <c r="I25" s="9">
        <f t="shared" ref="I25" si="25">IF(I24="DQ",0,IF(I24&lt;$D$24,0,1+COUNTIFS($E$24:$K$24,"DQ")+COUNTIFS($E$24:$K$24,"&lt;"&amp;$D$24)+COUNTIF($E$24:$K$24,"&gt;"&amp;I$24)))</f>
        <v>4</v>
      </c>
      <c r="J25" s="14" cm="1">
        <f t="array" ref="J25">_xlfn.IFS(I25=4,1,I25=3,2,I25=2,3,I25=1,4,I24&lt;$D$24,"Too Fast",I24="DQ","DQ")</f>
        <v>1</v>
      </c>
      <c r="K25" s="9">
        <f t="shared" ref="K25" si="26">IF(K24="DQ",0,IF(K24&lt;$D$24,0,1+COUNTIFS($E$24:$K$24,"DQ")+COUNTIFS($E$24:$K$24,"&lt;"&amp;$D$24)+COUNTIF($E$24:$K$24,"&gt;"&amp;K$24)))</f>
        <v>1</v>
      </c>
      <c r="L25" s="25" cm="1">
        <f t="array" ref="L25">_xlfn.IFS(K25=4,1,K25=3,2,K25=2,3,K25=1,4,K24&lt;$D$24,"Too Fast",K24="DQ","DQ")</f>
        <v>4</v>
      </c>
      <c r="M25" s="31" t="b">
        <v>1</v>
      </c>
    </row>
    <row r="26" spans="1:13" x14ac:dyDescent="0.3">
      <c r="A26" s="2"/>
      <c r="B26" s="12" t="s">
        <v>39</v>
      </c>
      <c r="C26" s="4" t="s">
        <v>15</v>
      </c>
      <c r="D26" s="16"/>
      <c r="E26" s="13">
        <f>E7+E9+E11+E13+E15+E17+E19+E21+E23+E25</f>
        <v>25</v>
      </c>
      <c r="F26" s="32"/>
      <c r="G26" s="13">
        <f t="shared" ref="G26:K26" si="27">G7+G9+G11+G13+G15+G17+G19+G21+G23+G25</f>
        <v>32</v>
      </c>
      <c r="H26" s="32"/>
      <c r="I26" s="13">
        <f t="shared" si="27"/>
        <v>30</v>
      </c>
      <c r="J26" s="32"/>
      <c r="K26" s="13">
        <f t="shared" si="27"/>
        <v>13</v>
      </c>
      <c r="L26" s="39"/>
      <c r="M26" s="28"/>
    </row>
    <row r="27" spans="1:13" x14ac:dyDescent="0.3">
      <c r="A27" s="5">
        <v>11</v>
      </c>
      <c r="B27" s="10" t="s">
        <v>40</v>
      </c>
      <c r="C27" s="2" t="s">
        <v>12</v>
      </c>
      <c r="D27" s="16">
        <v>8.2986111111111119E-4</v>
      </c>
      <c r="E27" s="44">
        <v>8.6041666666666666E-4</v>
      </c>
      <c r="F27" s="44"/>
      <c r="G27" s="44">
        <v>8.4027777777777768E-4</v>
      </c>
      <c r="H27" s="44"/>
      <c r="I27" s="44">
        <v>8.7025462962962957E-4</v>
      </c>
      <c r="J27" s="44"/>
      <c r="K27" s="44">
        <v>7.8472222222222214E-4</v>
      </c>
      <c r="L27" s="41"/>
      <c r="M27" s="28"/>
    </row>
    <row r="28" spans="1:13" x14ac:dyDescent="0.3">
      <c r="A28" s="7"/>
      <c r="B28" s="8"/>
      <c r="C28" s="4" t="s">
        <v>15</v>
      </c>
      <c r="D28" s="16"/>
      <c r="E28" s="9">
        <f>IF(E27="DQ",0,IF(E27&lt;$D$27,0,1+COUNTIFS($E$27:$K$27,"DQ")+COUNTIFS($E$27:$K$27,"&lt;"&amp;$D$27)+COUNTIF($E$27:$K$27,"&gt;"&amp;E$27)))</f>
        <v>3</v>
      </c>
      <c r="F28" s="14" cm="1">
        <f t="array" ref="F28">_xlfn.IFS(E28=4,1,E28=3,2,E28=2,3,E28=1,4,E27&lt;$D$27,"Too Fast",E27="DQ","DQ")</f>
        <v>2</v>
      </c>
      <c r="G28" s="9">
        <f t="shared" ref="G28" si="28">IF(G27="DQ",0,IF(G27&lt;$D$27,0,1+COUNTIFS($E$27:$K$27,"DQ")+COUNTIFS($E$27:$K$27,"&lt;"&amp;$D$27)+COUNTIF($E$27:$K$27,"&gt;"&amp;G$27)))</f>
        <v>4</v>
      </c>
      <c r="H28" s="14" cm="1">
        <f t="array" ref="H28">_xlfn.IFS(G28=4,1,G28=3,2,G28=2,3,G28=1,4,G27&lt;$D$27,"Too Fast",G27="DQ","DQ")</f>
        <v>1</v>
      </c>
      <c r="I28" s="9">
        <f t="shared" ref="I28" si="29">IF(I27="DQ",0,IF(I27&lt;$D$27,0,1+COUNTIFS($E$27:$K$27,"DQ")+COUNTIFS($E$27:$K$27,"&lt;"&amp;$D$27)+COUNTIF($E$27:$K$27,"&gt;"&amp;I$27)))</f>
        <v>2</v>
      </c>
      <c r="J28" s="14" cm="1">
        <f t="array" ref="J28">_xlfn.IFS(I28=4,1,I28=3,2,I28=2,3,I28=1,4,I27&lt;$D$27,"Too Fast",I27="DQ","DQ")</f>
        <v>3</v>
      </c>
      <c r="K28" s="9">
        <f t="shared" ref="K28" si="30">IF(K27="DQ",0,IF(K27&lt;$D$27,0,1+COUNTIFS($E$27:$K$27,"DQ")+COUNTIFS($E$27:$K$27,"&lt;"&amp;$D$27)+COUNTIF($E$27:$K$27,"&gt;"&amp;K$27)))</f>
        <v>0</v>
      </c>
      <c r="L28" s="25" t="str" cm="1">
        <f t="array" ref="L28">_xlfn.IFS(K28=4,1,K28=3,2,K28=2,3,K28=1,4,K27&lt;$D$27,"Too Fast",K27="DQ","DQ")</f>
        <v>Too Fast</v>
      </c>
      <c r="M28" s="31" t="b">
        <v>1</v>
      </c>
    </row>
    <row r="29" spans="1:13" x14ac:dyDescent="0.3">
      <c r="A29" s="5">
        <v>12</v>
      </c>
      <c r="B29" s="10" t="s">
        <v>41</v>
      </c>
      <c r="C29" s="2" t="s">
        <v>12</v>
      </c>
      <c r="D29" s="16">
        <v>7.164351851851853E-4</v>
      </c>
      <c r="E29" s="44">
        <v>8.114583333333333E-4</v>
      </c>
      <c r="F29" s="44"/>
      <c r="G29" s="44">
        <v>7.6770833333333335E-4</v>
      </c>
      <c r="H29" s="44"/>
      <c r="I29" s="44">
        <v>8.2835648148148146E-4</v>
      </c>
      <c r="J29" s="44"/>
      <c r="K29" s="44">
        <v>7.2372685185185192E-4</v>
      </c>
      <c r="L29" s="41"/>
      <c r="M29" s="28"/>
    </row>
    <row r="30" spans="1:13" x14ac:dyDescent="0.3">
      <c r="A30" s="7"/>
      <c r="B30" s="8"/>
      <c r="C30" s="4" t="s">
        <v>15</v>
      </c>
      <c r="D30" s="16"/>
      <c r="E30" s="9">
        <f>IF(E29="DQ",0,IF(E29&lt;$D$29,0,1+COUNTIFS($E$29:$K$29,"DQ")+COUNTIFS($E$29:$K$29,"&lt;"&amp;$D$29)+COUNTIF($E$29:$K$29,"&gt;"&amp;E$29)))</f>
        <v>2</v>
      </c>
      <c r="F30" s="14" cm="1">
        <f t="array" ref="F30">_xlfn.IFS(E30=4,1,E30=3,2,E30=2,3,E30=1,4,E29&lt;$D$29,"Too Fast",E29="DQ","DQ")</f>
        <v>3</v>
      </c>
      <c r="G30" s="9">
        <f>IF(G29="DQ",0,IF(G29&lt;$D$29,0,1+COUNTIFS($E$29:$K$29,"DQ")+COUNTIFS($E$29:$K$29,"&lt;"&amp;$D$29)+COUNTIF($E$29:$K$29,"&gt;"&amp;G$29)))</f>
        <v>3</v>
      </c>
      <c r="H30" s="14" cm="1">
        <f t="array" ref="H30">_xlfn.IFS(G30=4,1,G30=3,2,G30=2,3,G30=1,4,G29&lt;$D$29,"Too Fast",G29="DQ","DQ")</f>
        <v>2</v>
      </c>
      <c r="I30" s="9">
        <f>IF(I29="DQ",0,IF(I29&lt;$D$29,0,1+COUNTIFS($E$29:$K$29,"DQ")+COUNTIFS($E$29:$K$29,"&lt;"&amp;$D$29)+COUNTIF($E$29:$K$29,"&gt;"&amp;I$29)))</f>
        <v>1</v>
      </c>
      <c r="J30" s="14" cm="1">
        <f t="array" ref="J30">_xlfn.IFS(I30=4,1,I30=3,2,I30=2,3,I30=1,4,I29&lt;$D$29,"Too Fast",I29="DQ","DQ")</f>
        <v>4</v>
      </c>
      <c r="K30" s="9">
        <f>IF(K29="DQ",0,IF(K29&lt;$D$29,0,1+COUNTIFS($E$29:$K$29,"DQ")+COUNTIFS($E$29:$K$29,"&lt;"&amp;$D$29)+COUNTIF($E$29:$K$29,"&gt;"&amp;K$29)))</f>
        <v>4</v>
      </c>
      <c r="L30" s="25" cm="1">
        <f t="array" ref="L30">_xlfn.IFS(K30=4,1,K30=3,2,K30=2,3,K30=1,4,K29&lt;$D$29,"Too Fast",K29="DQ","DQ")</f>
        <v>1</v>
      </c>
      <c r="M30" s="31" t="b">
        <v>1</v>
      </c>
    </row>
    <row r="31" spans="1:13" x14ac:dyDescent="0.3">
      <c r="A31" s="5">
        <v>13</v>
      </c>
      <c r="B31" s="10" t="s">
        <v>42</v>
      </c>
      <c r="C31" s="2" t="s">
        <v>12</v>
      </c>
      <c r="D31" s="16">
        <v>8.0243055555555547E-4</v>
      </c>
      <c r="E31" s="44">
        <v>9.4513888888888881E-4</v>
      </c>
      <c r="F31" s="44"/>
      <c r="G31" s="41">
        <v>9.13888888888889E-4</v>
      </c>
      <c r="H31" s="42"/>
      <c r="I31" s="41">
        <v>9.9780092592592607E-4</v>
      </c>
      <c r="J31" s="42"/>
      <c r="K31" s="41">
        <v>9.7777777777777772E-4</v>
      </c>
      <c r="L31" s="43"/>
      <c r="M31" s="28"/>
    </row>
    <row r="32" spans="1:13" x14ac:dyDescent="0.3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3</v>
      </c>
      <c r="F32" s="14" cm="1">
        <f t="array" ref="F32">_xlfn.IFS(E32=4,1,E32=3,2,E32=2,3,E32=1,4,E31&lt;$D$31,"Too Fast",E31="DQ","DQ")</f>
        <v>2</v>
      </c>
      <c r="G32" s="9">
        <f>IF(G31="DQ",0,IF(G31&lt;$D$31,0,1+COUNTIFS($E$31:$T$31,"DQ")+COUNTIFS($E$31:$T$31,"&lt;"&amp;$D$31)+COUNTIF($E$31:$T$31,"&gt;"&amp;G$31)))</f>
        <v>4</v>
      </c>
      <c r="H32" s="14" cm="1">
        <f t="array" ref="H32">_xlfn.IFS(G32=4,1,G32=3,2,G32=2,3,G32=1,4,G31&lt;$D$31,"Too Fast",G31="DQ","DQ")</f>
        <v>1</v>
      </c>
      <c r="I32" s="9">
        <f>IF(I31="DQ",0,IF(I31&lt;$D$31,0,1+COUNTIFS($E$31:$T$31,"DQ")+COUNTIFS($E$31:$T$31,"&lt;"&amp;$D$31)+COUNTIF($E$31:$T$31,"&gt;"&amp;I$31)))</f>
        <v>1</v>
      </c>
      <c r="J32" s="14" cm="1">
        <f t="array" ref="J32">_xlfn.IFS(I32=4,1,I32=3,2,I32=2,3,I32=1,4,I31&lt;$D$31,"Too Fast",I31="DQ","DQ")</f>
        <v>4</v>
      </c>
      <c r="K32" s="9">
        <f>IF(K31="DQ",0,IF(K31&lt;$D$31,0,1+COUNTIFS($E$31:$T$31,"DQ")+COUNTIFS($E$31:$T$31,"&lt;"&amp;$D$31)+COUNTIF($E$31:$T$31,"&gt;"&amp;K$31)))</f>
        <v>2</v>
      </c>
      <c r="L32" s="25" cm="1">
        <f t="array" ref="L32">_xlfn.IFS(K32=4,1,K32=3,2,K32=2,3,K32=1,4,K31&lt;$D$31,"Too Fast",K31="DQ","DQ")</f>
        <v>3</v>
      </c>
      <c r="M32" s="31" t="b">
        <v>1</v>
      </c>
    </row>
    <row r="33" spans="1:21" x14ac:dyDescent="0.3">
      <c r="A33" s="5">
        <v>14</v>
      </c>
      <c r="B33" s="10" t="s">
        <v>43</v>
      </c>
      <c r="C33" s="2" t="s">
        <v>12</v>
      </c>
      <c r="D33" s="16">
        <v>7.9502314814814811E-4</v>
      </c>
      <c r="E33" s="44">
        <v>9.8217592592592584E-4</v>
      </c>
      <c r="F33" s="44"/>
      <c r="G33" s="44">
        <v>1.004050925925926E-3</v>
      </c>
      <c r="H33" s="44"/>
      <c r="I33" s="44">
        <v>9.3449074074074072E-4</v>
      </c>
      <c r="J33" s="44"/>
      <c r="K33" s="44" t="s">
        <v>112</v>
      </c>
      <c r="L33" s="41"/>
      <c r="M33" s="28"/>
    </row>
    <row r="34" spans="1:21" x14ac:dyDescent="0.3">
      <c r="A34" s="7"/>
      <c r="B34" s="8"/>
      <c r="C34" s="4" t="s">
        <v>15</v>
      </c>
      <c r="D34" s="16"/>
      <c r="E34" s="9">
        <f>IF(E33="DQ",0,IF(E33&lt;$D$33,0,1+COUNTIFS($E$33:$K$33,"DQ")+COUNTIFS($E$33:$K$33,"&lt;"&amp;$D$33)+COUNTIF($E$33:$K$33,"&gt;"&amp;E33)))</f>
        <v>3</v>
      </c>
      <c r="F34" s="14" cm="1">
        <f t="array" ref="F34">_xlfn.IFS(E34=4,1,E34=3,2,E34=2,3,E34=1,4,E33&lt;$D$33,"Too Fast",E33="DQ","DQ")</f>
        <v>2</v>
      </c>
      <c r="G34" s="9">
        <f>IF(G33="DQ",0,IF(G33&lt;D33,0,1+COUNTIFS($E$33:$K$33,"DQ")+COUNTIFS($E$33:$K$33,"&lt;"&amp;D33)+COUNTIF($E$33:$K$33,"&gt;"&amp;G$33)))</f>
        <v>2</v>
      </c>
      <c r="H34" s="14" cm="1">
        <f t="array" ref="H34">_xlfn.IFS(G34=4,1,G34=3,2,G34=2,3,G34=1,4,G33&lt;$D$33,"Too Fast",G33="DQ","DQ")</f>
        <v>3</v>
      </c>
      <c r="I34" s="9">
        <f>IF(I33="DQ",0,IF(I33&lt;D33,0,1+COUNTIFS($E$33:$K$33,"DQ")+COUNTIFS($E$33:$K$33,"&lt;"&amp;D33)+COUNTIF($E$33:$K$33,"&gt;"&amp;I33)))</f>
        <v>4</v>
      </c>
      <c r="J34" s="14" cm="1">
        <f t="array" ref="J34">_xlfn.IFS(I34=4,1,I34=3,2,I34=2,3,I34=1,4,I33&lt;$D$33,"Too Fast",I33="DQ","DQ")</f>
        <v>1</v>
      </c>
      <c r="K34" s="9">
        <f>IF(K33="DQ",0,IF(K33&lt;D33,0,1+COUNTIFS($E$33:$K$33,"DQ")+COUNTIFS($E$33:$K$33,"&lt;"&amp;D33)+COUNTIF($E$33:$K$33,"&gt;"&amp;K$33)))</f>
        <v>0</v>
      </c>
      <c r="L34" s="25" t="str" cm="1">
        <f t="array" ref="L34">_xlfn.IFS(K34=4,1,K34=3,2,K34=2,3,K34=1,4,K33&lt;$D$33,"Too Fast",K33="DQ","DQ")</f>
        <v>DQ</v>
      </c>
      <c r="M34" s="31" t="b">
        <v>1</v>
      </c>
    </row>
    <row r="35" spans="1:21" x14ac:dyDescent="0.3">
      <c r="A35" s="5">
        <v>15</v>
      </c>
      <c r="B35" s="10" t="s">
        <v>44</v>
      </c>
      <c r="C35" s="2" t="s">
        <v>12</v>
      </c>
      <c r="D35" s="16">
        <v>6.6747685185185182E-4</v>
      </c>
      <c r="E35" s="44">
        <v>7.1192129629629633E-4</v>
      </c>
      <c r="F35" s="44"/>
      <c r="G35" s="44">
        <v>7.0219907407407405E-4</v>
      </c>
      <c r="H35" s="44"/>
      <c r="I35" s="44">
        <v>7.8784722222222212E-4</v>
      </c>
      <c r="J35" s="44"/>
      <c r="K35" s="44">
        <v>8.9328703703703716E-4</v>
      </c>
      <c r="L35" s="41"/>
      <c r="M35" s="28"/>
    </row>
    <row r="36" spans="1:21" x14ac:dyDescent="0.3">
      <c r="A36" s="7"/>
      <c r="B36" s="8"/>
      <c r="C36" s="4" t="s">
        <v>15</v>
      </c>
      <c r="D36" s="16"/>
      <c r="E36" s="9">
        <f>IF(E35="DQ",0,IF(E35&lt;$D$35,0,1+COUNTIFS($E$35:$K$35,"DQ")+COUNTIFS($E$35:$K$35,"&lt;"&amp;$D$35)+COUNTIF($E$35:$K$35,"&gt;"&amp;E35)))</f>
        <v>3</v>
      </c>
      <c r="F36" s="14" cm="1">
        <f t="array" ref="F36">_xlfn.IFS(E36=4,1,E36=3,2,E36=2,3,E36=1,4,E35&lt;$D$35,"Too Fast",E35="DQ","DQ")</f>
        <v>2</v>
      </c>
      <c r="G36" s="9">
        <f>IF(G35="DQ",0,IF(G35&lt;$D$35,0,1+COUNTIFS($E$35:$K$35,"DQ")+COUNTIFS($E$35:$K$35,"&lt;"&amp;$D$35)+COUNTIF($E$35:$K$35,"&gt;"&amp;G35)))</f>
        <v>4</v>
      </c>
      <c r="H36" s="14" cm="1">
        <f t="array" ref="H36">_xlfn.IFS(G36=4,1,G36=3,2,G36=2,3,G36=1,4,G35&lt;$D$35,"Too Fast",G35="DQ","DQ")</f>
        <v>1</v>
      </c>
      <c r="I36" s="9">
        <f>IF(I35="DQ",0,IF(I35&lt;$D$35,0,1+COUNTIFS($E$35:$K$35,"DQ")+COUNTIFS($E$35:$K$35,"&lt;"&amp;$D$35)+COUNTIF($E$35:$K$35,"&gt;"&amp;I35)))</f>
        <v>2</v>
      </c>
      <c r="J36" s="14" cm="1">
        <f t="array" ref="J36">_xlfn.IFS(I36=4,1,I36=3,2,I36=2,3,I36=1,4,I35&lt;$D$35,"Too Fast",I35="DQ","DQ")</f>
        <v>3</v>
      </c>
      <c r="K36" s="9">
        <f>IF(K35="DQ",0,IF(K35&lt;$D$35,0,1+COUNTIFS($E$35:$K$35,"DQ")+COUNTIFS($E$35:$K$35,"&lt;"&amp;$D$35)+COUNTIF($E$35:$K$35,"&gt;"&amp;K35)))</f>
        <v>1</v>
      </c>
      <c r="L36" s="25" cm="1">
        <f t="array" ref="L36">_xlfn.IFS(K36=4,1,K36=3,2,K36=2,3,K36=1,4,K35&lt;$D$35,"Too Fast",K35="DQ","DQ")</f>
        <v>4</v>
      </c>
      <c r="M36" s="31" t="b">
        <v>1</v>
      </c>
    </row>
    <row r="37" spans="1:21" x14ac:dyDescent="0.3">
      <c r="A37" s="5">
        <v>16</v>
      </c>
      <c r="B37" s="10" t="s">
        <v>45</v>
      </c>
      <c r="C37" s="2" t="s">
        <v>12</v>
      </c>
      <c r="D37" s="16">
        <v>6.3738425925925931E-4</v>
      </c>
      <c r="E37" s="44">
        <v>8.25E-4</v>
      </c>
      <c r="F37" s="44"/>
      <c r="G37" s="44">
        <v>7.5185185185185175E-4</v>
      </c>
      <c r="H37" s="44"/>
      <c r="I37" s="44">
        <v>7.793981481481482E-4</v>
      </c>
      <c r="J37" s="44"/>
      <c r="K37" s="44">
        <v>8.4837962962962959E-4</v>
      </c>
      <c r="L37" s="41"/>
      <c r="M37" s="28"/>
    </row>
    <row r="38" spans="1:21" x14ac:dyDescent="0.3">
      <c r="A38" s="7"/>
      <c r="B38" s="8"/>
      <c r="C38" s="4" t="s">
        <v>15</v>
      </c>
      <c r="D38" s="16"/>
      <c r="E38" s="9">
        <f>IF(E37="DQ",0,IF(E37&lt;$D$37,0,1+COUNTIFS($E$37:$K$37,"DQ")+COUNTIFS($E$37:$K$37,"&lt;"&amp;$D$37)+COUNTIF($E$37:$K$37,"&gt;"&amp;E37)))</f>
        <v>2</v>
      </c>
      <c r="F38" s="14" cm="1">
        <f t="array" ref="F38">_xlfn.IFS(E38=4,1,E38=3,2,E38=2,3,E38=1,4,E37&lt;$D$37,"Too Fast",E37="DQ","DQ")</f>
        <v>3</v>
      </c>
      <c r="G38" s="9">
        <f>IF(G37="DQ",0,IF(G37&lt;$D$37,0,1+COUNTIFS($E$37:$K$37,"DQ")+COUNTIFS($E$37:$K$37,"&lt;"&amp;$D$37)+COUNTIF($E$37:$K$37,"&gt;"&amp;G37)))</f>
        <v>4</v>
      </c>
      <c r="H38" s="14" cm="1">
        <f t="array" ref="H38">_xlfn.IFS(G38=4,1,G38=3,2,G38=2,3,G38=1,4,G37&lt;$D$37,"Too Fast",G37="DQ","DQ")</f>
        <v>1</v>
      </c>
      <c r="I38" s="9">
        <f>IF(I37="DQ",0,IF(I37&lt;$D$37,0,1+COUNTIFS($E$37:$K$37,"DQ")+COUNTIFS($E$37:$K$37,"&lt;"&amp;$D$37)+COUNTIF($E$37:$K$37,"&gt;"&amp;I37)))</f>
        <v>3</v>
      </c>
      <c r="J38" s="14" cm="1">
        <f t="array" ref="J38">_xlfn.IFS(I38=4,1,I38=3,2,I38=2,3,I38=1,4,I37&lt;$D$37,"Too Fast",I37="DQ","DQ")</f>
        <v>2</v>
      </c>
      <c r="K38" s="9">
        <f>IF(K37="DQ",0,IF(K37&lt;$D$37,0,1+COUNTIFS($E$37:$K$37,"DQ")+COUNTIFS($E$37:$K$37,"&lt;"&amp;$D$37)+COUNTIF($E$37:$K$37,"&gt;"&amp;K37)))</f>
        <v>1</v>
      </c>
      <c r="L38" s="25" cm="1">
        <f t="array" ref="L38">_xlfn.IFS(K38=4,1,K38=3,2,K38=2,3,K38=1,4,K37&lt;$D$37,"Too Fast",K37="DQ","DQ")</f>
        <v>4</v>
      </c>
      <c r="M38" s="31" t="b">
        <v>1</v>
      </c>
      <c r="R38" s="23"/>
    </row>
    <row r="39" spans="1:21" x14ac:dyDescent="0.3">
      <c r="A39" s="5">
        <v>17</v>
      </c>
      <c r="B39" s="10" t="s">
        <v>46</v>
      </c>
      <c r="C39" s="2" t="s">
        <v>35</v>
      </c>
      <c r="D39" s="16">
        <v>4.4560185185185192E-4</v>
      </c>
      <c r="E39" s="44">
        <v>4.8124999999999996E-4</v>
      </c>
      <c r="F39" s="44"/>
      <c r="G39" s="44">
        <v>4.9895833333333335E-4</v>
      </c>
      <c r="H39" s="44"/>
      <c r="I39" s="44">
        <v>4.5300925925925928E-4</v>
      </c>
      <c r="J39" s="44"/>
      <c r="K39" s="44">
        <v>5.6400462962962958E-4</v>
      </c>
      <c r="L39" s="41"/>
      <c r="M39" s="28"/>
      <c r="R39" s="23"/>
      <c r="S39" s="23"/>
      <c r="T39" s="23"/>
      <c r="U39" s="23"/>
    </row>
    <row r="40" spans="1:21" x14ac:dyDescent="0.3">
      <c r="A40" s="7"/>
      <c r="B40" s="8"/>
      <c r="C40" s="4" t="s">
        <v>15</v>
      </c>
      <c r="D40" s="16"/>
      <c r="E40" s="9">
        <f>IF(E39="DQ",0,IF(E39&lt;$D$39,0,1+COUNTIFS($E$39:$K$39,"DQ")+COUNTIFS($E$39:$K$39,"&lt;"&amp;$D$39)+COUNTIF($E$39:$K$39,"&gt;"&amp;E39)))</f>
        <v>3</v>
      </c>
      <c r="F40" s="14" cm="1">
        <f t="array" ref="F40">_xlfn.IFS(E40=4,1,E40=3,2,E40=2,3,E40=1,4,E39&lt;$D$39,"Too Fast",E39="DQ","DQ")</f>
        <v>2</v>
      </c>
      <c r="G40" s="9">
        <f>IF(G39="DQ",0,IF(G39&lt;$D$39,0,1+COUNTIFS($E$39:$K$39,"DQ")+COUNTIFS($E$39:$K$39,"&lt;"&amp;$D$39)+COUNTIF($E$39:$K$39,"&gt;"&amp;G39)))</f>
        <v>2</v>
      </c>
      <c r="H40" s="14" cm="1">
        <f t="array" ref="H40">_xlfn.IFS(G40=4,1,G40=3,2,G40=2,3,G40=1,4,G39&lt;$D$39,"Too Fast",G39="DQ","DQ")</f>
        <v>3</v>
      </c>
      <c r="I40" s="9">
        <f>IF(I39="DQ",0,IF(I39&lt;$D$39,0,1+COUNTIFS($E$39:$K$39,"DQ")+COUNTIFS($E$39:$K$39,"&lt;"&amp;$D$39)+COUNTIF($E$39:$K$39,"&gt;"&amp;I39)))</f>
        <v>4</v>
      </c>
      <c r="J40" s="14" cm="1">
        <f t="array" ref="J40">_xlfn.IFS(I40=4,1,I40=3,2,I40=2,3,I40=1,4,I39&lt;$D$39,"Too Fast",I39="DQ","DQ")</f>
        <v>1</v>
      </c>
      <c r="K40" s="9">
        <f>IF(K39="DQ",0,IF(K39&lt;$D$39,0,1+COUNTIFS($E$39:$K$39,"DQ")+COUNTIFS($E$39:$K$39,"&lt;"&amp;$D$39)+COUNTIF($E$39:$K$39,"&gt;"&amp;K39)))</f>
        <v>1</v>
      </c>
      <c r="L40" s="25" cm="1">
        <f t="array" ref="L40">_xlfn.IFS(K40=4,1,K40=3,2,K40=2,3,K40=1,4,K39&lt;$D$39,"Too Fast",K39="DQ","DQ")</f>
        <v>4</v>
      </c>
      <c r="M40" s="31" t="b">
        <v>1</v>
      </c>
      <c r="Q40" s="24"/>
    </row>
    <row r="41" spans="1:21" x14ac:dyDescent="0.3">
      <c r="A41" s="5">
        <v>18</v>
      </c>
      <c r="B41" s="10" t="s">
        <v>47</v>
      </c>
      <c r="C41" s="2" t="s">
        <v>35</v>
      </c>
      <c r="D41" s="16">
        <v>4.3287037037037035E-4</v>
      </c>
      <c r="E41" s="44">
        <v>4.726851851851852E-4</v>
      </c>
      <c r="F41" s="44"/>
      <c r="G41" s="44">
        <v>4.3981481481481481E-4</v>
      </c>
      <c r="H41" s="44"/>
      <c r="I41" s="44">
        <v>4.3738425925925927E-4</v>
      </c>
      <c r="J41" s="44"/>
      <c r="K41" s="44">
        <v>5.0497685185185183E-4</v>
      </c>
      <c r="L41" s="41"/>
      <c r="M41" s="28"/>
      <c r="P41" s="23"/>
      <c r="Q41" s="24"/>
    </row>
    <row r="42" spans="1:21" x14ac:dyDescent="0.3">
      <c r="A42" s="7"/>
      <c r="B42" s="8"/>
      <c r="C42" s="4" t="s">
        <v>15</v>
      </c>
      <c r="D42" s="16"/>
      <c r="E42" s="9">
        <f>IF(E41="DQ",0,IF(E41&lt;$D$41,0,1+COUNTIFS($E$41:$K$41,"DQ")+COUNTIFS($E$41:$K$41,"&lt;"&amp;$D$41)+COUNTIF($E$41:$K$41,"&gt;"&amp;E41)))</f>
        <v>2</v>
      </c>
      <c r="F42" s="14" cm="1">
        <f t="array" ref="F42">_xlfn.IFS(E42=4,1,E42=3,2,E42=2,3,E42=1,4,E41&lt;$D$41,"Too Fast",E41="DQ","DQ")</f>
        <v>3</v>
      </c>
      <c r="G42" s="9">
        <f>IF(G41="DQ",0,IF(G41&lt;$D$41,0,1+COUNTIFS($E$41:$K$41,"DQ")+COUNTIFS($E$41:$K$41,"&lt;"&amp;$D$41)+COUNTIF($E$41:$K$41,"&gt;"&amp;G41)))</f>
        <v>3</v>
      </c>
      <c r="H42" s="14" cm="1">
        <f t="array" ref="H42">_xlfn.IFS(G42=4,1,G42=3,2,G42=2,3,G42=1,4,G41&lt;$D$41,"Too Fast",G41="DQ","DQ")</f>
        <v>2</v>
      </c>
      <c r="I42" s="9">
        <f>IF(I41="DQ",0,IF(I41&lt;$D$41,0,1+COUNTIFS($E$41:$K$41,"DQ")+COUNTIFS($E$41:$K$41,"&lt;"&amp;$D$41)+COUNTIF($E$41:$K$41,"&gt;"&amp;I41)))</f>
        <v>4</v>
      </c>
      <c r="J42" s="14" cm="1">
        <f t="array" ref="J42">_xlfn.IFS(I42=4,1,I42=3,2,I42=2,3,I42=1,4,I41&lt;$D$41,"Too Fast",I41="DQ","DQ")</f>
        <v>1</v>
      </c>
      <c r="K42" s="9">
        <f>IF(K41="DQ",0,IF(K41&lt;$D$41,0,1+COUNTIFS($E$41:$K$41,"DQ")+COUNTIFS($E$41:$K$41,"&lt;"&amp;$D$41)+COUNTIF($E$41:$K$41,"&gt;"&amp;K41)))</f>
        <v>1</v>
      </c>
      <c r="L42" s="25" cm="1">
        <f t="array" ref="L42">_xlfn.IFS(K42=4,1,K42=3,2,K42=2,3,K42=1,4,K41&lt;$D$41,"Too Fast",K41="DQ","DQ")</f>
        <v>4</v>
      </c>
      <c r="M42" s="31" t="b">
        <v>1</v>
      </c>
      <c r="P42" s="23"/>
      <c r="Q42" s="24"/>
    </row>
    <row r="43" spans="1:21" x14ac:dyDescent="0.3">
      <c r="A43" s="5">
        <v>19</v>
      </c>
      <c r="B43" s="10" t="s">
        <v>48</v>
      </c>
      <c r="C43" s="2" t="s">
        <v>12</v>
      </c>
      <c r="D43" s="16">
        <v>8.0439814814814816E-4</v>
      </c>
      <c r="E43" s="44">
        <v>8.4363425925925925E-4</v>
      </c>
      <c r="F43" s="44"/>
      <c r="G43" s="44">
        <v>8.5173611111111116E-4</v>
      </c>
      <c r="H43" s="44"/>
      <c r="I43" s="44">
        <v>8.5324074074074067E-4</v>
      </c>
      <c r="J43" s="44"/>
      <c r="K43" s="44">
        <v>9.3101851851851852E-4</v>
      </c>
      <c r="L43" s="41"/>
      <c r="M43" s="28"/>
      <c r="P43" s="23"/>
      <c r="Q43" s="24"/>
    </row>
    <row r="44" spans="1:21" x14ac:dyDescent="0.3">
      <c r="A44" s="7"/>
      <c r="B44" s="8"/>
      <c r="C44" s="4" t="s">
        <v>15</v>
      </c>
      <c r="D44" s="16"/>
      <c r="E44" s="9">
        <f>IF(E43="DQ",0,IF(E43&lt;$D$43,0,1+COUNTIFS($E$43:$K$43,"DQ")+COUNTIFS($E$43:$K$43,"&lt;"&amp;$D$43)+COUNTIF($E$43:$K$43,"&gt;"&amp;E43)))</f>
        <v>4</v>
      </c>
      <c r="F44" s="14" cm="1">
        <f t="array" ref="F44">_xlfn.IFS(E44=4,1,E44=3,2,E44=2,3,E44=1,4,E43&lt;$D$43,"Too Fast",E43="DQ","DQ")</f>
        <v>1</v>
      </c>
      <c r="G44" s="9">
        <f>IF(G43="DQ",0,IF(G43&lt;$D$43,0,1+COUNTIFS($E$43:$K$43,"DQ")+COUNTIFS($E$43:$K$43,"&lt;"&amp;$D$43)+COUNTIF($E$43:$K$43,"&gt;"&amp;G43)))</f>
        <v>3</v>
      </c>
      <c r="H44" s="14" cm="1">
        <f t="array" ref="H44">_xlfn.IFS(G44=4,1,G44=3,2,G44=2,3,G44=1,4,G43&lt;$D$43,"Too Fast",G43="DQ","DQ")</f>
        <v>2</v>
      </c>
      <c r="I44" s="9">
        <f>IF(I43="DQ",0,IF(I43&lt;$D$43,0,1+COUNTIFS($E$43:$K$43,"DQ")+COUNTIFS($E$43:$K$43,"&lt;"&amp;$D$43)+COUNTIF($E$43:$K$43,"&gt;"&amp;I43)))</f>
        <v>2</v>
      </c>
      <c r="J44" s="14" cm="1">
        <f t="array" ref="J44">_xlfn.IFS(I44=4,1,I44=3,2,I44=2,3,I44=1,4,I43&lt;$D$43,"Too Fast",I43="DQ","DQ")</f>
        <v>3</v>
      </c>
      <c r="K44" s="9">
        <f>IF(K43="DQ",0,IF(K43&lt;$D$43,0,1+COUNTIFS($E$43:$K$43,"DQ")+COUNTIFS($E$43:$K$43,"&lt;"&amp;$D$43)+COUNTIF($E$43:$K$43,"&gt;"&amp;K43)))</f>
        <v>1</v>
      </c>
      <c r="L44" s="25" cm="1">
        <f t="array" ref="L44">_xlfn.IFS(K44=4,1,K44=3,2,K44=2,3,K44=1,4,K43&lt;$D$43,"Too Fast",K43="DQ","DQ")</f>
        <v>4</v>
      </c>
      <c r="M44" s="31" t="b">
        <v>1</v>
      </c>
      <c r="Q44" s="24"/>
    </row>
    <row r="45" spans="1:21" x14ac:dyDescent="0.3">
      <c r="A45" s="5">
        <v>20</v>
      </c>
      <c r="B45" s="10" t="s">
        <v>49</v>
      </c>
      <c r="C45" s="2" t="s">
        <v>12</v>
      </c>
      <c r="D45" s="16">
        <v>7.337962962962963E-4</v>
      </c>
      <c r="E45" s="44">
        <v>8.3090277777777774E-4</v>
      </c>
      <c r="F45" s="44"/>
      <c r="G45" s="44">
        <v>8.1273148148148144E-4</v>
      </c>
      <c r="H45" s="44"/>
      <c r="I45" s="44">
        <v>8.6851851851851847E-4</v>
      </c>
      <c r="J45" s="44"/>
      <c r="K45" s="44">
        <v>8.1724537037037041E-4</v>
      </c>
      <c r="L45" s="41"/>
      <c r="M45" s="28"/>
      <c r="Q45" s="24"/>
    </row>
    <row r="46" spans="1:21" x14ac:dyDescent="0.3">
      <c r="A46" s="7"/>
      <c r="B46" s="8"/>
      <c r="C46" s="4" t="s">
        <v>15</v>
      </c>
      <c r="D46" s="16"/>
      <c r="E46" s="9">
        <f>IF(E45="DQ",0,IF(E45&lt;$D$45,0,1+COUNTIFS($E$45:$K$45,"DQ")+COUNTIFS($E$45:$K$45,"&lt;"&amp;$D$45)+COUNTIF($E$45:$K$45,"&gt;"&amp;E45)))</f>
        <v>2</v>
      </c>
      <c r="F46" s="14" cm="1">
        <f t="array" ref="F46">_xlfn.IFS(E46=4,1,E46=3,2,E46=2,3,E46=1,4,E45&lt;$D$45,"Too Fast",E45="DQ","DQ")</f>
        <v>3</v>
      </c>
      <c r="G46" s="9">
        <f>IF(G45="DQ",0,IF(G45&lt;$D$45,0,1+COUNTIFS($E$45:$K$45,"DQ")+COUNTIFS($E$45:$K$45,"&lt;"&amp;$D$45)+COUNTIF($E$45:$K$45,"&gt;"&amp;G45)))</f>
        <v>4</v>
      </c>
      <c r="H46" s="14" cm="1">
        <f t="array" ref="H46">_xlfn.IFS(G46=4,1,G46=3,2,G46=2,3,G46=1,4,G45&lt;$D$45,"Too Fast",G45="DQ","DQ")</f>
        <v>1</v>
      </c>
      <c r="I46" s="9">
        <f>IF(I45="DQ",0,IF(I45&lt;$D$45,0,1+COUNTIFS($E$45:$K$45,"DQ")+COUNTIFS($E$45:$K$45,"&lt;"&amp;$D$45)+COUNTIF($E$45:$K$45,"&gt;"&amp;I45)))</f>
        <v>1</v>
      </c>
      <c r="J46" s="14" cm="1">
        <f t="array" ref="J46">_xlfn.IFS(I46=4,1,I46=3,2,I46=2,3,I46=1,4,I45&lt;$D$45,"Too Fast",I45="DQ","DQ")</f>
        <v>4</v>
      </c>
      <c r="K46" s="9">
        <f>IF(K45="DQ",0,IF(K45&lt;$D$45,0,1+COUNTIFS($E$45:$K$45,"DQ")+COUNTIFS($E$45:$K$45,"&lt;"&amp;$D$45)+COUNTIF($E$45:$K$45,"&gt;"&amp;K45)))</f>
        <v>3</v>
      </c>
      <c r="L46" s="25" cm="1">
        <f t="array" ref="L46">_xlfn.IFS(K46=4,1,K46=3,2,K46=2,3,K46=1,4,K45&lt;$D$45,"Too Fast",K45="DQ","DQ")</f>
        <v>2</v>
      </c>
      <c r="M46" s="31" t="b">
        <v>1</v>
      </c>
      <c r="Q46" s="24"/>
    </row>
    <row r="47" spans="1:21" x14ac:dyDescent="0.3">
      <c r="A47" s="2"/>
      <c r="B47" s="12" t="s">
        <v>50</v>
      </c>
      <c r="C47" s="4" t="s">
        <v>15</v>
      </c>
      <c r="D47" s="16"/>
      <c r="E47" s="19">
        <f>E26+E28+E30+E32+E34+E36+E38+E40+E42+E44+E46</f>
        <v>52</v>
      </c>
      <c r="F47" s="40"/>
      <c r="G47" s="19">
        <f t="shared" ref="G47:K47" si="31">G26+G28+G30+G32+G34+G36+G38+G40+G42+G44+G46</f>
        <v>65</v>
      </c>
      <c r="H47" s="40"/>
      <c r="I47" s="19">
        <f t="shared" si="31"/>
        <v>54</v>
      </c>
      <c r="J47" s="40"/>
      <c r="K47" s="19">
        <f t="shared" si="31"/>
        <v>27</v>
      </c>
      <c r="L47" s="39"/>
      <c r="M47" s="28"/>
      <c r="Q47" s="24"/>
    </row>
    <row r="48" spans="1:21" x14ac:dyDescent="0.3">
      <c r="A48" s="5">
        <v>21</v>
      </c>
      <c r="B48" s="10" t="s">
        <v>51</v>
      </c>
      <c r="C48" s="2" t="s">
        <v>32</v>
      </c>
      <c r="D48" s="16">
        <v>1.8703703703703702E-4</v>
      </c>
      <c r="E48" s="44">
        <v>2.0486111111111109E-4</v>
      </c>
      <c r="F48" s="44"/>
      <c r="G48" s="44">
        <v>1.863425925925926E-4</v>
      </c>
      <c r="H48" s="44"/>
      <c r="I48" s="44">
        <v>2.0520833333333334E-4</v>
      </c>
      <c r="J48" s="44"/>
      <c r="K48" s="44">
        <v>2.2291666666666667E-4</v>
      </c>
      <c r="L48" s="41"/>
      <c r="M48" s="28"/>
      <c r="Q48" s="24"/>
    </row>
    <row r="49" spans="1:17" x14ac:dyDescent="0.3">
      <c r="A49" s="7"/>
      <c r="B49" s="8"/>
      <c r="C49" s="4" t="s">
        <v>15</v>
      </c>
      <c r="D49" s="16"/>
      <c r="E49" s="9">
        <f>IF(E48="DQ",0,IF(E48&lt;$D$48,0,1+COUNTIFS($E$48:$K$48,"DQ")+COUNTIFS($E$48:$K$48,"&lt;"&amp;$D$48)+COUNTIF($E$48:$K$48,"&gt;"&amp;E48)))</f>
        <v>4</v>
      </c>
      <c r="F49" s="14" cm="1">
        <f t="array" ref="F49">_xlfn.IFS(E49=4,1,E49=3,2,E49=2,3,E49=1,4,E48&lt;$D$48,"Too Fast",E48="DQ","DQ")</f>
        <v>1</v>
      </c>
      <c r="G49" s="9">
        <f>IF(G48="DQ",0,IF(G48&lt;$D$48,0,1+COUNTIFS($E$48:$K$48,"DQ")+COUNTIFS($E$48:$K$48,"&lt;"&amp;$D$48)+COUNTIF($E$48:$K$48,"&gt;"&amp;G48)))</f>
        <v>0</v>
      </c>
      <c r="H49" s="14" t="str" cm="1">
        <f t="array" ref="H49">_xlfn.IFS(G49=4,1,G49=3,2,G49=2,3,G49=1,4,G48&lt;$D$48,"Too Fast",G48="DQ","DQ")</f>
        <v>Too Fast</v>
      </c>
      <c r="I49" s="9">
        <f>IF(I48="DQ",0,IF(I48&lt;$D$48,0,1+COUNTIFS($E$48:$K$48,"DQ")+COUNTIFS($E$48:$K$48,"&lt;"&amp;$D$48)+COUNTIF($E$48:$K$48,"&gt;"&amp;I48)))</f>
        <v>3</v>
      </c>
      <c r="J49" s="14" cm="1">
        <f t="array" ref="J49">_xlfn.IFS(I49=4,1,I49=3,2,I49=2,3,I49=1,4,I48&lt;$D$48,"Too Fast",I48="DQ","DQ")</f>
        <v>2</v>
      </c>
      <c r="K49" s="9">
        <f>IF(K48="DQ",0,IF(K48&lt;$D$48,0,1+COUNTIFS($E$48:$K$48,"DQ")+COUNTIFS($E$48:$K$48,"&lt;"&amp;$D$48)+COUNTIF($E$48:$K$48,"&gt;"&amp;K48)))</f>
        <v>2</v>
      </c>
      <c r="L49" s="25" cm="1">
        <f t="array" ref="L49">_xlfn.IFS(K49=4,1,K49=3,2,K49=2,3,K49=1,4,K48&lt;$D$48,"Too Fast",K48="DQ","DQ")</f>
        <v>3</v>
      </c>
      <c r="M49" s="31" t="b">
        <v>1</v>
      </c>
      <c r="Q49" s="24"/>
    </row>
    <row r="50" spans="1:17" x14ac:dyDescent="0.3">
      <c r="A50" s="5">
        <v>22</v>
      </c>
      <c r="B50" s="10" t="s">
        <v>52</v>
      </c>
      <c r="C50" s="2" t="s">
        <v>32</v>
      </c>
      <c r="D50" s="16">
        <v>1.8969907407407409E-4</v>
      </c>
      <c r="E50" s="44">
        <v>2.0358796296296295E-4</v>
      </c>
      <c r="F50" s="44"/>
      <c r="G50" s="44">
        <v>2.0914351851851853E-4</v>
      </c>
      <c r="H50" s="44"/>
      <c r="I50" s="44">
        <v>2.0960648148148149E-4</v>
      </c>
      <c r="J50" s="44"/>
      <c r="K50" s="44">
        <v>2.2071759259259259E-4</v>
      </c>
      <c r="L50" s="41"/>
      <c r="M50" s="28"/>
      <c r="Q50" s="24"/>
    </row>
    <row r="51" spans="1:17" x14ac:dyDescent="0.3">
      <c r="A51" s="7"/>
      <c r="B51" s="8"/>
      <c r="C51" s="4" t="s">
        <v>15</v>
      </c>
      <c r="D51" s="16"/>
      <c r="E51" s="9">
        <f>IF(E50="DQ",0,IF(E50&lt;$D$50,0,1+COUNTIFS($E$50:$K$50,"DQ")+COUNTIFS($E$50:$K$50,"&lt;"&amp;$D$50)+COUNTIF($E$50:$K$50,"&gt;"&amp;E50)))</f>
        <v>4</v>
      </c>
      <c r="F51" s="14" cm="1">
        <f t="array" ref="F51">_xlfn.IFS(E51=4,1,E51=3,2,E51=2,3,E51=1,4,E50&lt;$D$50,"Too Fast",E50="DQ","DQ")</f>
        <v>1</v>
      </c>
      <c r="G51" s="9">
        <f>IF(G50="DQ",0,IF(G50&lt;$D$50,0,1+COUNTIFS($E$50:$K$50,"DQ")+COUNTIFS($E$50:$K$50,"&lt;"&amp;$D$50)+COUNTIF($E$50:$K$50,"&gt;"&amp;G50)))</f>
        <v>3</v>
      </c>
      <c r="H51" s="14" cm="1">
        <f t="array" ref="H51">_xlfn.IFS(G51=4,1,G51=3,2,G51=2,3,G51=1,4,G50&lt;$D$50,"Too Fast",G50="DQ","DQ")</f>
        <v>2</v>
      </c>
      <c r="I51" s="9">
        <f>IF(I50="DQ",0,IF(I50&lt;$D$50,0,1+COUNTIFS($E$50:$K$50,"DQ")+COUNTIFS($E$50:$K$50,"&lt;"&amp;$D$50)+COUNTIF($E$50:$K$50,"&gt;"&amp;I50)))</f>
        <v>2</v>
      </c>
      <c r="J51" s="14" cm="1">
        <f t="array" ref="J51">_xlfn.IFS(I51=4,1,I51=3,2,I51=2,3,I51=1,4,I50&lt;$D$50,"Too Fast",I50="DQ","DQ")</f>
        <v>3</v>
      </c>
      <c r="K51" s="9">
        <f>IF(K50="DQ",0,IF(K50&lt;$D$50,0,1+COUNTIFS($E$50:$K$50,"DQ")+COUNTIFS($E$50:$K$50,"&lt;"&amp;$D$50)+COUNTIF($E$50:$K$50,"&gt;"&amp;K50)))</f>
        <v>1</v>
      </c>
      <c r="L51" s="25" cm="1">
        <f t="array" ref="L51">_xlfn.IFS(K51=4,1,K51=3,2,K51=2,3,K51=1,4,K50&lt;$D$50,"Too Fast",K50="DQ","DQ")</f>
        <v>4</v>
      </c>
      <c r="M51" s="31" t="b">
        <v>1</v>
      </c>
      <c r="Q51" s="24"/>
    </row>
    <row r="52" spans="1:17" x14ac:dyDescent="0.3">
      <c r="A52" s="5">
        <v>23</v>
      </c>
      <c r="B52" s="10" t="s">
        <v>53</v>
      </c>
      <c r="C52" s="2" t="s">
        <v>35</v>
      </c>
      <c r="D52" s="16">
        <v>3.5300925925925924E-4</v>
      </c>
      <c r="E52" s="44">
        <v>3.978009259259259E-4</v>
      </c>
      <c r="F52" s="44"/>
      <c r="G52" s="44">
        <v>3.9768518518518516E-4</v>
      </c>
      <c r="H52" s="44"/>
      <c r="I52" s="44">
        <v>3.6851851851851851E-4</v>
      </c>
      <c r="J52" s="44"/>
      <c r="K52" s="44">
        <v>5.1597222222222224E-4</v>
      </c>
      <c r="L52" s="41"/>
      <c r="M52" s="28"/>
      <c r="Q52" s="24"/>
    </row>
    <row r="53" spans="1:17" x14ac:dyDescent="0.3">
      <c r="A53" s="7"/>
      <c r="B53" s="8"/>
      <c r="C53" s="4" t="s">
        <v>15</v>
      </c>
      <c r="D53" s="16"/>
      <c r="E53" s="9">
        <f>IF(E52="DQ",0,IF(E52&lt;$D$52,0,1+COUNTIFS($E$52:$K$52,"DQ")+COUNTIFS($E$52:$K$52,"&lt;"&amp;$D$52)+COUNTIF($E$52:$K$52,"&gt;"&amp;E52)))</f>
        <v>2</v>
      </c>
      <c r="F53" s="14" cm="1">
        <f t="array" ref="F53">_xlfn.IFS(E53=4,1,E53=3,2,E53=2,3,E53=1,4,E52&lt;$D$52,"Too Fast",E52="DQ","DQ")</f>
        <v>3</v>
      </c>
      <c r="G53" s="9">
        <f>IF(G52="DQ",0,IF(G52&lt;$D$52,0,1+COUNTIFS($E$52:$K$52,"DQ")+COUNTIFS($E$52:$K$52,"&lt;"&amp;$D$52)+COUNTIF($E$52:$K$52,"&gt;"&amp;G52)))</f>
        <v>3</v>
      </c>
      <c r="H53" s="14" cm="1">
        <f t="array" ref="H53">_xlfn.IFS(G53=4,1,G53=3,2,G53=2,3,G53=1,4,G52&lt;$D$52,"Too Fast",G52="DQ","DQ")</f>
        <v>2</v>
      </c>
      <c r="I53" s="9">
        <f>IF(I52="DQ",0,IF(I52&lt;$D$52,0,1+COUNTIFS($E$52:$K$52,"DQ")+COUNTIFS($E$52:$K$52,"&lt;"&amp;$D$52)+COUNTIF($E$52:$K$52,"&gt;"&amp;I52)))</f>
        <v>4</v>
      </c>
      <c r="J53" s="14" cm="1">
        <f t="array" ref="J53">_xlfn.IFS(I53=4,1,I53=3,2,I53=2,3,I53=1,4,I52&lt;$D$52,"Too Fast",I52="DQ","DQ")</f>
        <v>1</v>
      </c>
      <c r="K53" s="9">
        <f>IF(K52="DQ",0,IF(K52&lt;$D$52,0,1+COUNTIFS($E$52:$K$52,"DQ")+COUNTIFS($E$52:$K$52,"&lt;"&amp;$D$52)+COUNTIF($E$52:$K$52,"&gt;"&amp;K52)))</f>
        <v>1</v>
      </c>
      <c r="L53" s="25" cm="1">
        <f t="array" ref="L53">_xlfn.IFS(K53=4,1,K53=3,2,K53=2,3,K53=1,4,K52&lt;$D$52,"Too Fast",K52="DQ","DQ")</f>
        <v>4</v>
      </c>
      <c r="M53" s="31" t="b">
        <v>1</v>
      </c>
      <c r="Q53" s="24"/>
    </row>
    <row r="54" spans="1:17" x14ac:dyDescent="0.3">
      <c r="A54" s="5">
        <v>24</v>
      </c>
      <c r="B54" s="10" t="s">
        <v>54</v>
      </c>
      <c r="C54" s="2" t="s">
        <v>35</v>
      </c>
      <c r="D54" s="16">
        <v>3.5416666666666669E-4</v>
      </c>
      <c r="E54" s="44">
        <v>3.7916666666666665E-4</v>
      </c>
      <c r="F54" s="44"/>
      <c r="G54" s="44">
        <v>4.4085648148148152E-4</v>
      </c>
      <c r="H54" s="44"/>
      <c r="I54" s="44">
        <v>3.7951388888888887E-4</v>
      </c>
      <c r="J54" s="44"/>
      <c r="K54" s="44">
        <v>5.1678240740740742E-4</v>
      </c>
      <c r="L54" s="41"/>
      <c r="M54" s="28"/>
      <c r="Q54" s="24"/>
    </row>
    <row r="55" spans="1:17" x14ac:dyDescent="0.3">
      <c r="A55" s="7"/>
      <c r="B55" s="8"/>
      <c r="C55" s="4" t="s">
        <v>15</v>
      </c>
      <c r="D55" s="16"/>
      <c r="E55" s="9">
        <f>IF(E54="DQ",0,IF(E54&lt;$D$54,0,1+COUNTIFS($E$54:$K$54,"DQ")+COUNTIFS($E$54:$K$54,"&lt;"&amp;$D$54)+COUNTIF($E$54:$K$54,"&gt;"&amp;E54)))</f>
        <v>4</v>
      </c>
      <c r="F55" s="14" cm="1">
        <f t="array" ref="F55">_xlfn.IFS(E55=4,1,E55=3,2,E55=2,3,E55=1,4,E54&lt;$D$54,"Too Fast",E54="DQ","DQ")</f>
        <v>1</v>
      </c>
      <c r="G55" s="9">
        <f>IF(G54="DQ",0,IF(G54&lt;$D$54,0,1+COUNTIFS($E$54:$K$54,"DQ")+COUNTIFS($E$54:$K$54,"&lt;"&amp;$D$54)+COUNTIF($E$54:$K$54,"&gt;"&amp;G54)))</f>
        <v>2</v>
      </c>
      <c r="H55" s="14" cm="1">
        <f t="array" ref="H55">_xlfn.IFS(G55=4,1,G55=3,2,G55=2,3,G55=1,4,G54&lt;$D$54,"Too Fast",G54="DQ","DQ")</f>
        <v>3</v>
      </c>
      <c r="I55" s="9">
        <f>IF(I54="DQ",0,IF(I54&lt;$D$54,0,1+COUNTIFS($E$54:$K$54,"DQ")+COUNTIFS($E$54:$K$54,"&lt;"&amp;$D$54)+COUNTIF($E$54:$K$54,"&gt;"&amp;I54)))</f>
        <v>3</v>
      </c>
      <c r="J55" s="14" cm="1">
        <f t="array" ref="J55">_xlfn.IFS(I55=4,1,I55=3,2,I55=2,3,I55=1,4,I54&lt;$D$54,"Too Fast",I54="DQ","DQ")</f>
        <v>2</v>
      </c>
      <c r="K55" s="9">
        <f>IF(K54="DQ",0,IF(K54&lt;$D$54,0,1+COUNTIFS($E$54:$K$54,"DQ")+COUNTIFS($E$54:$K$54,"&lt;"&amp;$D$54)+COUNTIF($E$54:$K$54,"&gt;"&amp;K54)))</f>
        <v>1</v>
      </c>
      <c r="L55" s="25" cm="1">
        <f t="array" ref="L55">_xlfn.IFS(K55=4,1,K55=3,2,K55=2,3,K55=1,4,K54&lt;$D$54,"Too Fast",K54="DQ","DQ")</f>
        <v>4</v>
      </c>
      <c r="M55" s="31" t="b">
        <v>1</v>
      </c>
      <c r="Q55" s="24"/>
    </row>
    <row r="56" spans="1:17" x14ac:dyDescent="0.3">
      <c r="A56" s="5">
        <v>25</v>
      </c>
      <c r="B56" s="10" t="s">
        <v>55</v>
      </c>
      <c r="C56" s="2" t="s">
        <v>56</v>
      </c>
      <c r="D56" s="16">
        <v>1.5381944444444445E-3</v>
      </c>
      <c r="E56" s="44">
        <v>1.6103009259259258E-3</v>
      </c>
      <c r="F56" s="44"/>
      <c r="G56" s="44">
        <v>1.6711805555555553E-3</v>
      </c>
      <c r="H56" s="44"/>
      <c r="I56" s="44">
        <v>1.6225694444444445E-3</v>
      </c>
      <c r="J56" s="44"/>
      <c r="K56" s="44">
        <v>2.0724537037037035E-3</v>
      </c>
      <c r="L56" s="41"/>
      <c r="M56" s="28"/>
      <c r="Q56" s="24"/>
    </row>
    <row r="57" spans="1:17" x14ac:dyDescent="0.3">
      <c r="A57" s="7"/>
      <c r="B57" s="8"/>
      <c r="C57" s="4" t="s">
        <v>15</v>
      </c>
      <c r="D57" s="16"/>
      <c r="E57" s="9">
        <f>IF(E56="DQ",0,IF(E56&lt;$D$56,0,1+COUNTIFS($E$56:$K$56,"DQ")+COUNTIFS($E$56:$K$56,"&lt;"&amp;$D$56)+COUNTIF($E$56:$K$56,"&gt;"&amp;E56)))</f>
        <v>4</v>
      </c>
      <c r="F57" s="14" cm="1">
        <f t="array" ref="F57">_xlfn.IFS(E57=4,1,E57=3,2,E57=2,3,E57=1,4,E56&lt;$D$56,"Too Fast",E56="DQ","DQ")</f>
        <v>1</v>
      </c>
      <c r="G57" s="9">
        <f>IF(G56="DQ",0,IF(G56&lt;$D$56,0,1+COUNTIFS($E$56:$K$56,"DQ")+COUNTIFS($E$56:$K$56,"&lt;"&amp;$D$56)+COUNTIF($E$56:$K$56,"&gt;"&amp;G56)))</f>
        <v>2</v>
      </c>
      <c r="H57" s="14" cm="1">
        <f t="array" ref="H57">_xlfn.IFS(G57=4,1,G57=3,2,G57=2,3,G57=1,4,G56&lt;$D$56,"Too Fast",G56="DQ","DQ")</f>
        <v>3</v>
      </c>
      <c r="I57" s="9">
        <f>IF(I56="DQ",0,IF(I56&lt;$D$56,0,1+COUNTIFS($E$56:$K$56,"DQ")+COUNTIFS($E$56:$K$56,"&lt;"&amp;$D$56)+COUNTIF($E$56:$K$56,"&gt;"&amp;I56)))</f>
        <v>3</v>
      </c>
      <c r="J57" s="14" cm="1">
        <f t="array" ref="J57">_xlfn.IFS(I57=4,1,I57=3,2,I57=2,3,I57=1,4,I56&lt;$D$56,"Too Fast",I56="DQ","DQ")</f>
        <v>2</v>
      </c>
      <c r="K57" s="9">
        <f>IF(K56="DQ",0,IF(K56&lt;$D$56,0,1+COUNTIFS($E$56:$K$56,"DQ")+COUNTIFS($E$56:$K$56,"&lt;"&amp;$D$56)+COUNTIF($E$56:$K$56,"&gt;"&amp;K56)))</f>
        <v>1</v>
      </c>
      <c r="L57" s="25" cm="1">
        <f t="array" ref="L57">_xlfn.IFS(K57=4,1,K57=3,2,K57=2,3,K57=1,4,K56&lt;$D$56,"Too Fast",K56="DQ","DQ")</f>
        <v>4</v>
      </c>
      <c r="M57" s="31" t="b">
        <v>1</v>
      </c>
      <c r="Q57" s="24"/>
    </row>
    <row r="58" spans="1:17" x14ac:dyDescent="0.3">
      <c r="A58" s="5">
        <v>26</v>
      </c>
      <c r="B58" s="10" t="s">
        <v>57</v>
      </c>
      <c r="C58" s="2" t="s">
        <v>56</v>
      </c>
      <c r="D58" s="16">
        <v>1.4189814814814814E-3</v>
      </c>
      <c r="E58" s="44">
        <v>1.8413194444444445E-3</v>
      </c>
      <c r="F58" s="44"/>
      <c r="G58" s="44">
        <v>1.6787037037037035E-3</v>
      </c>
      <c r="H58" s="44"/>
      <c r="I58" s="44">
        <v>1.528935185185185E-3</v>
      </c>
      <c r="J58" s="44"/>
      <c r="K58" s="44">
        <v>2.2498842592592592E-3</v>
      </c>
      <c r="L58" s="41"/>
      <c r="M58" s="28"/>
      <c r="Q58" s="24"/>
    </row>
    <row r="59" spans="1:17" x14ac:dyDescent="0.3">
      <c r="A59" s="7"/>
      <c r="B59" s="8"/>
      <c r="C59" s="4" t="s">
        <v>15</v>
      </c>
      <c r="D59" s="16"/>
      <c r="E59" s="9">
        <f>IF(E58="DQ",0,IF(E58&lt;$D$58,0,1+COUNTIFS($E$58:$K$58,"DQ")+COUNTIFS($E$58:$K$58,"&lt;"&amp;$D$58)+COUNTIF($E$58:$K$58,"&gt;"&amp;E58)))</f>
        <v>2</v>
      </c>
      <c r="F59" s="14" cm="1">
        <f t="array" ref="F59">_xlfn.IFS(E59=4,1,E59=3,2,E59=2,3,E59=1,4,E58&lt;$D$58,"Too Fast",E58="DQ","DQ")</f>
        <v>3</v>
      </c>
      <c r="G59" s="9">
        <f>IF(G58="DQ",0,IF(G58&lt;$D$58,0,1+COUNTIFS($E$58:$K$58,"DQ")+COUNTIFS($E$58:$K$58,"&lt;"&amp;$D$58)+COUNTIF($E$58:$K$58,"&gt;"&amp;G58)))</f>
        <v>3</v>
      </c>
      <c r="H59" s="14" cm="1">
        <f t="array" ref="H59">_xlfn.IFS(G59=4,1,G59=3,2,G59=2,3,G59=1,4,G58&lt;$D$58,"Too Fast",G58="DQ","DQ")</f>
        <v>2</v>
      </c>
      <c r="I59" s="9">
        <f>IF(I58="DQ",0,IF(I58&lt;$D$58,0,1+COUNTIFS($E$58:$K$58,"DQ")+COUNTIFS($E$58:$K$58,"&lt;"&amp;$D$58)+COUNTIF($E$58:$K$58,"&gt;"&amp;I58)))</f>
        <v>4</v>
      </c>
      <c r="J59" s="14" cm="1">
        <f t="array" ref="J59">_xlfn.IFS(I59=4,1,I59=3,2,I59=2,3,I59=1,4,I58&lt;$D$58,"Too Fast",I58="DQ","DQ")</f>
        <v>1</v>
      </c>
      <c r="K59" s="9">
        <f>IF(K58="DQ",0,IF(K58&lt;$D$58,0,1+COUNTIFS($E$58:$K$58,"DQ")+COUNTIFS($E$58:$K$58,"&lt;"&amp;$D$58)+COUNTIF($E$58:$K$58,"&gt;"&amp;K58)))</f>
        <v>1</v>
      </c>
      <c r="L59" s="25" cm="1">
        <f t="array" ref="L59">_xlfn.IFS(K59=4,1,K59=3,2,K59=2,3,K59=1,4,K58&lt;$D$58,"Too Fast",K58="DQ","DQ")</f>
        <v>4</v>
      </c>
      <c r="M59" s="31" t="b">
        <v>1</v>
      </c>
      <c r="Q59" s="24"/>
    </row>
    <row r="60" spans="1:17" x14ac:dyDescent="0.3">
      <c r="A60" s="5">
        <v>27</v>
      </c>
      <c r="B60" s="10" t="s">
        <v>58</v>
      </c>
      <c r="C60" s="2" t="s">
        <v>56</v>
      </c>
      <c r="D60" s="16">
        <v>1.5170138888888889E-3</v>
      </c>
      <c r="E60" s="44">
        <v>1.5802083333333334E-3</v>
      </c>
      <c r="F60" s="44"/>
      <c r="G60" s="44">
        <v>1.6070601851851851E-3</v>
      </c>
      <c r="H60" s="44"/>
      <c r="I60" s="44">
        <v>1.6862268518518517E-3</v>
      </c>
      <c r="J60" s="44"/>
      <c r="K60" s="44">
        <v>1.7055555555555556E-3</v>
      </c>
      <c r="L60" s="41"/>
      <c r="M60" s="28"/>
      <c r="Q60" s="24"/>
    </row>
    <row r="61" spans="1:17" x14ac:dyDescent="0.3">
      <c r="A61" s="7"/>
      <c r="B61" s="8"/>
      <c r="C61" s="4" t="s">
        <v>15</v>
      </c>
      <c r="D61" s="16"/>
      <c r="E61" s="9">
        <f>IF(E60="DQ",0,IF(E60&lt;$D$60,0,1+COUNTIFS($E$60:$K$60,"DQ")+COUNTIFS($E$60:$K$60,"&lt;"&amp;$D$60)+COUNTIF($E$60:$K$60,"&gt;"&amp;E60)))</f>
        <v>4</v>
      </c>
      <c r="F61" s="14" cm="1">
        <f t="array" ref="F61">_xlfn.IFS(E61=4,1,E61=3,2,E61=2,3,E61=1,4,E60&lt;$D$60,"Too Fast",E60="DQ","DQ")</f>
        <v>1</v>
      </c>
      <c r="G61" s="9">
        <f>IF(G60="DQ",0,IF(G60&lt;$D$60,0,1+COUNTIFS($E$60:$K$60,"DQ")+COUNTIFS($E$60:$K$60,"&lt;"&amp;$D$60)+COUNTIF($E$60:$K$60,"&gt;"&amp;G60)))</f>
        <v>3</v>
      </c>
      <c r="H61" s="14" cm="1">
        <f t="array" ref="H61">_xlfn.IFS(G61=4,1,G61=3,2,G61=2,3,G61=1,4,G60&lt;$D$60,"Too Fast",G60="DQ","DQ")</f>
        <v>2</v>
      </c>
      <c r="I61" s="9">
        <f>IF(I60="DQ",0,IF(I60&lt;$D$60,0,1+COUNTIFS($E$60:$K$60,"DQ")+COUNTIFS($E$60:$K$60,"&lt;"&amp;$D$60)+COUNTIF($E$60:$K$60,"&gt;"&amp;I60)))</f>
        <v>2</v>
      </c>
      <c r="J61" s="14" cm="1">
        <f t="array" ref="J61">_xlfn.IFS(I61=4,1,I61=3,2,I61=2,3,I61=1,4,I60&lt;$D$60,"Too Fast",I60="DQ","DQ")</f>
        <v>3</v>
      </c>
      <c r="K61" s="9">
        <f>IF(K60="DQ",0,IF(K60&lt;$D$60,0,1+COUNTIFS($E$60:$K$60,"DQ")+COUNTIFS($E$60:$K$60,"&lt;"&amp;$D$60)+COUNTIF($E$60:$K$60,"&gt;"&amp;K60)))</f>
        <v>1</v>
      </c>
      <c r="L61" s="25" cm="1">
        <f t="array" ref="L61">_xlfn.IFS(K61=4,1,K61=3,2,K61=2,3,K61=1,4,K60&lt;$D$60,"Too Fast",K60="DQ","DQ")</f>
        <v>4</v>
      </c>
      <c r="M61" s="31" t="b">
        <v>1</v>
      </c>
      <c r="Q61" s="24"/>
    </row>
    <row r="62" spans="1:17" x14ac:dyDescent="0.3">
      <c r="A62" s="5">
        <v>28</v>
      </c>
      <c r="B62" s="10" t="s">
        <v>59</v>
      </c>
      <c r="C62" s="2" t="s">
        <v>56</v>
      </c>
      <c r="D62" s="16">
        <v>1.3824074074074075E-3</v>
      </c>
      <c r="E62" s="44">
        <v>1.4755787037037036E-3</v>
      </c>
      <c r="F62" s="44"/>
      <c r="G62" s="44">
        <v>1.5020833333333334E-3</v>
      </c>
      <c r="H62" s="44"/>
      <c r="I62" s="44">
        <v>1.5462962962962963E-3</v>
      </c>
      <c r="J62" s="44"/>
      <c r="K62" s="44">
        <v>1.5587962962962964E-3</v>
      </c>
      <c r="L62" s="41"/>
      <c r="M62" s="28"/>
      <c r="Q62" s="24"/>
    </row>
    <row r="63" spans="1:17" x14ac:dyDescent="0.3">
      <c r="A63" s="7"/>
      <c r="B63" s="8"/>
      <c r="C63" s="4" t="s">
        <v>15</v>
      </c>
      <c r="D63" s="16"/>
      <c r="E63" s="9">
        <f>IF(E62="DQ",0,IF(E62&lt;$D$62,0,1+COUNTIFS($E$62:$K$62,"DQ")+COUNTIFS($E$62:$K$62,"&lt;"&amp;$D$62)+COUNTIF($E$62:$K$62,"&gt;"&amp;E62)))</f>
        <v>4</v>
      </c>
      <c r="F63" s="14" cm="1">
        <f t="array" ref="F63">_xlfn.IFS(E63=4,1,E63=3,2,E63=2,3,E63=1,4,E62&lt;$D$62,"Too Fast",E62="DQ","DQ")</f>
        <v>1</v>
      </c>
      <c r="G63" s="9">
        <f>IF(G62="DQ",0,IF(G62&lt;$D$62,0,1+COUNTIFS($E$62:$K$62,"DQ")+COUNTIFS($E$62:$K$62,"&lt;"&amp;$D$62)+COUNTIF($E$62:$K$62,"&gt;"&amp;G62)))</f>
        <v>3</v>
      </c>
      <c r="H63" s="14" cm="1">
        <f t="array" ref="H63">_xlfn.IFS(G63=4,1,G63=3,2,G63=2,3,G63=1,4,G62&lt;$D$62,"Too Fast",G62="DQ","DQ")</f>
        <v>2</v>
      </c>
      <c r="I63" s="9">
        <f>IF(I62="DQ",0,IF(I62&lt;$D$62,0,1+COUNTIFS($E$62:$K$62,"DQ")+COUNTIFS($E$62:$K$62,"&lt;"&amp;$D$62)+COUNTIF($E$62:$K$62,"&gt;"&amp;I62)))</f>
        <v>2</v>
      </c>
      <c r="J63" s="14" cm="1">
        <f t="array" ref="J63">_xlfn.IFS(I63=4,1,I63=3,2,I63=2,3,I63=1,4,I62&lt;$D$62,"Too Fast",I62="DQ","DQ")</f>
        <v>3</v>
      </c>
      <c r="K63" s="9">
        <f>IF(K62="DQ",0,IF(K62&lt;$D$62,0,1+COUNTIFS($E$62:$K$62,"DQ")+COUNTIFS($E$62:$K$62,"&lt;"&amp;$D$62)+COUNTIF($E$62:$K$62,"&gt;"&amp;K62)))</f>
        <v>1</v>
      </c>
      <c r="L63" s="25" cm="1">
        <f t="array" ref="L63">_xlfn.IFS(K63=4,1,K63=3,2,K63=2,3,K63=1,4,K62&lt;$D$62,"Too Fast",K62="DQ","DQ")</f>
        <v>4</v>
      </c>
      <c r="M63" s="31" t="b">
        <v>1</v>
      </c>
      <c r="Q63" s="24"/>
    </row>
    <row r="64" spans="1:17" x14ac:dyDescent="0.3">
      <c r="A64" s="5">
        <v>29</v>
      </c>
      <c r="B64" s="10" t="s">
        <v>60</v>
      </c>
      <c r="C64" s="2" t="s">
        <v>32</v>
      </c>
      <c r="D64" s="16">
        <v>2.0972222222222223E-4</v>
      </c>
      <c r="E64" s="44">
        <v>2.3229166666666667E-4</v>
      </c>
      <c r="F64" s="44"/>
      <c r="G64" s="44">
        <v>2.3055555555555557E-4</v>
      </c>
      <c r="H64" s="44"/>
      <c r="I64" s="44">
        <v>2.3773148148148148E-4</v>
      </c>
      <c r="J64" s="44"/>
      <c r="K64" s="44">
        <v>2.4745370370370367E-4</v>
      </c>
      <c r="L64" s="41"/>
      <c r="M64" s="28"/>
      <c r="Q64" s="24"/>
    </row>
    <row r="65" spans="1:17" x14ac:dyDescent="0.3">
      <c r="A65" s="7"/>
      <c r="B65" s="8"/>
      <c r="C65" s="4" t="s">
        <v>15</v>
      </c>
      <c r="D65" s="16"/>
      <c r="E65" s="9">
        <f>IF(E64="DQ",0,IF(E64&lt;$D$64,0,1+COUNTIFS($E$64:$K$64,"DQ")+COUNTIFS($E$64:$K$64,"&lt;"&amp;$D$64)+COUNTIF($E$64:$K$64,"&gt;"&amp;E64)))</f>
        <v>3</v>
      </c>
      <c r="F65" s="14" cm="1">
        <f t="array" ref="F65">_xlfn.IFS(E65=4,1,E65=3,2,E65=2,3,E65=1,4,E64&lt;$D$64,"Too Fast",E64="DQ","DQ")</f>
        <v>2</v>
      </c>
      <c r="G65" s="9">
        <f>IF(G64="DQ",0,IF(G64&lt;$D$64,0,1+COUNTIFS($E$64:$K$64,"DQ")+COUNTIFS($E$64:$K$64,"&lt;"&amp;$D$64)+COUNTIF($E$64:$K$64,"&gt;"&amp;G64)))</f>
        <v>4</v>
      </c>
      <c r="H65" s="14" cm="1">
        <f t="array" ref="H65">_xlfn.IFS(G65=4,1,G65=3,2,G65=2,3,G65=1,4,G64&lt;$D$64,"Too Fast",G64="DQ","DQ")</f>
        <v>1</v>
      </c>
      <c r="I65" s="9">
        <f>IF(I64="DQ",0,IF(I64&lt;$D$64,0,1+COUNTIFS($E$64:$K$64,"DQ")+COUNTIFS($E$64:$K$64,"&lt;"&amp;$D$64)+COUNTIF($E$64:$K$64,"&gt;"&amp;I64)))</f>
        <v>2</v>
      </c>
      <c r="J65" s="14" cm="1">
        <f t="array" ref="J65">_xlfn.IFS(I65=4,1,I65=3,2,I65=2,3,I65=1,4,I64&lt;$D$64,"Too Fast",I64="DQ","DQ")</f>
        <v>3</v>
      </c>
      <c r="K65" s="9">
        <f>IF(K64="DQ",0,IF(K64&lt;$D$64,0,1+COUNTIFS($E$64:$K$64,"DQ")+COUNTIFS($E$64:$K$64,"&lt;"&amp;$D$64)+COUNTIF($E$64:$K$64,"&gt;"&amp;K64)))</f>
        <v>1</v>
      </c>
      <c r="L65" s="25" cm="1">
        <f t="array" ref="L65">_xlfn.IFS(K65=4,1,K65=3,2,K65=2,3,K65=1,4,K64&lt;$D$64,"Too Fast",K64="DQ","DQ")</f>
        <v>4</v>
      </c>
      <c r="M65" s="31" t="b">
        <v>1</v>
      </c>
      <c r="Q65" s="24"/>
    </row>
    <row r="66" spans="1:17" x14ac:dyDescent="0.3">
      <c r="A66" s="5">
        <v>30</v>
      </c>
      <c r="B66" s="10" t="s">
        <v>61</v>
      </c>
      <c r="C66" s="2" t="s">
        <v>32</v>
      </c>
      <c r="D66" s="16">
        <v>2.1087962962962963E-4</v>
      </c>
      <c r="E66" s="44">
        <v>2.3298611111111111E-4</v>
      </c>
      <c r="F66" s="44"/>
      <c r="G66" s="44">
        <v>2.2696759259259257E-4</v>
      </c>
      <c r="H66" s="44"/>
      <c r="I66" s="44">
        <v>2.2280092592592593E-4</v>
      </c>
      <c r="J66" s="44"/>
      <c r="K66" s="44">
        <v>2.6192129629629628E-4</v>
      </c>
      <c r="L66" s="41"/>
      <c r="M66" s="28"/>
      <c r="Q66" s="24"/>
    </row>
    <row r="67" spans="1:17" x14ac:dyDescent="0.3">
      <c r="A67" s="7"/>
      <c r="B67" s="8"/>
      <c r="C67" s="4" t="s">
        <v>15</v>
      </c>
      <c r="D67" s="16"/>
      <c r="E67" s="9">
        <f>IF(E66="DQ",0,IF(E66&lt;$D$66,0,1+COUNTIFS($E$66:$K$66,"DQ")+COUNTIFS($E$66:$K$66,"&lt;"&amp;$D$66)+COUNTIF($E$66:$K$66,"&gt;"&amp;E66)))</f>
        <v>2</v>
      </c>
      <c r="F67" s="14" cm="1">
        <f t="array" ref="F67">_xlfn.IFS(E67=4,1,E67=3,2,E67=2,3,E67=1,4,E66&lt;$D$66,"Too Fast",E66="DQ","DQ")</f>
        <v>3</v>
      </c>
      <c r="G67" s="9">
        <f>IF(G66="DQ",0,IF(G66&lt;$D$66,0,1+COUNTIFS($E$66:$K$66,"DQ")+COUNTIFS($E$66:$K$66,"&lt;"&amp;$D$66)+COUNTIF($E$66:$K$66,"&gt;"&amp;G66)))</f>
        <v>3</v>
      </c>
      <c r="H67" s="14" cm="1">
        <f t="array" ref="H67">_xlfn.IFS(G67=4,1,G67=3,2,G67=2,3,G67=1,4,G66&lt;$D$66,"Too Fast",G66="DQ","DQ")</f>
        <v>2</v>
      </c>
      <c r="I67" s="9">
        <f>IF(I66="DQ",0,IF(I66&lt;$D$66,0,1+COUNTIFS($E$66:$K$66,"DQ")+COUNTIFS($E$66:$K$66,"&lt;"&amp;$D$66)+COUNTIF($E$66:$K$66,"&gt;"&amp;I66)))</f>
        <v>4</v>
      </c>
      <c r="J67" s="14" cm="1">
        <f t="array" ref="J67">_xlfn.IFS(I67=4,1,I67=3,2,I67=2,3,I67=1,4,I66&lt;$D$66,"Too Fast",I66="DQ","DQ")</f>
        <v>1</v>
      </c>
      <c r="K67" s="9">
        <f>IF(K66="DQ",0,IF(K66&lt;$D$66,0,1+COUNTIFS($E$66:$K$66,"DQ")+COUNTIFS($E$66:$K$66,"&lt;"&amp;$D$66)+COUNTIF($E$66:$K$66,"&gt;"&amp;K66)))</f>
        <v>1</v>
      </c>
      <c r="L67" s="25" cm="1">
        <f t="array" ref="L67">_xlfn.IFS(K67=4,1,K67=3,2,K67=2,3,K67=1,4,K66&lt;$D$66,"Too Fast",K66="DQ","DQ")</f>
        <v>4</v>
      </c>
      <c r="M67" s="31" t="b">
        <v>1</v>
      </c>
      <c r="Q67" s="24"/>
    </row>
    <row r="68" spans="1:17" x14ac:dyDescent="0.3">
      <c r="A68" s="2"/>
      <c r="B68" s="12" t="s">
        <v>62</v>
      </c>
      <c r="C68" s="4" t="s">
        <v>15</v>
      </c>
      <c r="D68" s="16"/>
      <c r="E68" s="19">
        <f>E47+E49+E51+E53+E55+E57+E59+E61+E63+E65+E67</f>
        <v>85</v>
      </c>
      <c r="F68" s="40"/>
      <c r="G68" s="19">
        <f t="shared" ref="G68:K68" si="32">G47+G49+G51+G53+G55+G57+G59+G61+G63+G65+G67</f>
        <v>91</v>
      </c>
      <c r="H68" s="40"/>
      <c r="I68" s="19">
        <f t="shared" si="32"/>
        <v>83</v>
      </c>
      <c r="J68" s="40"/>
      <c r="K68" s="19">
        <f t="shared" si="32"/>
        <v>38</v>
      </c>
      <c r="L68" s="39"/>
      <c r="M68" s="28"/>
      <c r="Q68" s="24"/>
    </row>
    <row r="69" spans="1:17" x14ac:dyDescent="0.3">
      <c r="A69" s="5">
        <v>31</v>
      </c>
      <c r="B69" s="10" t="s">
        <v>63</v>
      </c>
      <c r="C69" s="2" t="s">
        <v>35</v>
      </c>
      <c r="D69" s="16">
        <v>4.0509259259259258E-4</v>
      </c>
      <c r="E69" s="41">
        <v>4.8159722222222224E-4</v>
      </c>
      <c r="F69" s="42"/>
      <c r="G69" s="41">
        <v>4.4699074074074069E-4</v>
      </c>
      <c r="H69" s="42"/>
      <c r="I69" s="41">
        <v>4.6481481481481477E-4</v>
      </c>
      <c r="J69" s="42"/>
      <c r="K69" s="41">
        <v>5.7337962962962963E-4</v>
      </c>
      <c r="L69" s="43"/>
      <c r="M69" s="28"/>
      <c r="Q69" s="24"/>
    </row>
    <row r="70" spans="1:17" x14ac:dyDescent="0.3">
      <c r="A70" s="7"/>
      <c r="B70" s="8"/>
      <c r="C70" s="4" t="s">
        <v>15</v>
      </c>
      <c r="D70" s="16"/>
      <c r="E70" s="9">
        <f>IF(E69="DQ",0,IF(E69&lt;$D$69,0,1+COUNTIFS($E$69:$K$69,"DQ")+COUNTIFS($E$69:$K$69,"&lt;"&amp;$D$69)+COUNTIF($E$69:$K$69,"&gt;"&amp;E69)))</f>
        <v>2</v>
      </c>
      <c r="F70" s="14" cm="1">
        <f t="array" ref="F70">_xlfn.IFS(E70=4,1,E70=3,2,E70=2,3,E70=1,4,E69&lt;$D$69,"Too Fast",E69="DQ","DQ")</f>
        <v>3</v>
      </c>
      <c r="G70" s="9">
        <f>IF(G69="DQ",0,IF(G69&lt;$D$69,0,1+COUNTIFS($E$69:$K$69,"DQ")+COUNTIFS($E$69:$K$69,"&lt;"&amp;$D$69)+COUNTIF($E$69:$K$69,"&gt;"&amp;G69)))</f>
        <v>4</v>
      </c>
      <c r="H70" s="14" cm="1">
        <f t="array" ref="H70">_xlfn.IFS(G70=4,1,G70=3,2,G70=2,3,G70=1,4,G69&lt;$D$69,"Too Fast",G69="DQ","DQ")</f>
        <v>1</v>
      </c>
      <c r="I70" s="9">
        <f>IF(I69="DQ",0,IF(I69&lt;$D$69,0,1+COUNTIFS($E$69:$K$69,"DQ")+COUNTIFS($E$69:$K$69,"&lt;"&amp;$D$69)+COUNTIF($E$69:$K$69,"&gt;"&amp;I69)))</f>
        <v>3</v>
      </c>
      <c r="J70" s="14" cm="1">
        <f t="array" ref="J70">_xlfn.IFS(I70=4,1,I70=3,2,I70=2,3,I70=1,4,I69&lt;$D$69,"Too Fast",I69="DQ","DQ")</f>
        <v>2</v>
      </c>
      <c r="K70" s="9">
        <f>IF(K69="DQ",0,IF(K69&lt;$D$69,0,1+COUNTIFS($E$69:$K$69,"DQ")+COUNTIFS($E$69:$K$69,"&lt;"&amp;$D$69)+COUNTIF($E$69:$K$69,"&gt;"&amp;K69)))</f>
        <v>1</v>
      </c>
      <c r="L70" s="25" cm="1">
        <f t="array" ref="L70">_xlfn.IFS(K70=4,1,K70=3,2,K70=2,3,K70=1,4,K69&lt;$D$69,"Too Fast",K69="DQ","DQ")</f>
        <v>4</v>
      </c>
      <c r="M70" s="31" t="b">
        <v>1</v>
      </c>
    </row>
    <row r="71" spans="1:17" x14ac:dyDescent="0.3">
      <c r="A71" s="5">
        <v>32</v>
      </c>
      <c r="B71" s="10" t="s">
        <v>64</v>
      </c>
      <c r="C71" s="2" t="s">
        <v>35</v>
      </c>
      <c r="D71" s="16">
        <v>4.1087962962962958E-4</v>
      </c>
      <c r="E71" s="41">
        <v>5.2233796296296295E-4</v>
      </c>
      <c r="F71" s="42"/>
      <c r="G71" s="41">
        <v>4.5000000000000004E-4</v>
      </c>
      <c r="H71" s="42"/>
      <c r="I71" s="41">
        <v>4.0219907407407408E-4</v>
      </c>
      <c r="J71" s="42"/>
      <c r="K71" s="41">
        <v>4.803240740740741E-4</v>
      </c>
      <c r="L71" s="43"/>
      <c r="M71" s="28"/>
    </row>
    <row r="72" spans="1:17" x14ac:dyDescent="0.3">
      <c r="A72" s="7"/>
      <c r="B72" s="8"/>
      <c r="C72" s="4" t="s">
        <v>15</v>
      </c>
      <c r="D72" s="16"/>
      <c r="E72" s="9">
        <f>IF(E71="DQ",0,IF(E71&lt;$D$71,0,1+COUNTIFS($E$71:$K$71,"DQ")+COUNTIFS($E$71:$K$71,"&lt;"&amp;$D$71)+COUNTIF($E$71:$K$71,"&gt;"&amp;E71)))</f>
        <v>2</v>
      </c>
      <c r="F72" s="14" cm="1">
        <f t="array" ref="F72">_xlfn.IFS(E72=4,1,E72=3,2,E72=2,3,E72=1,4,E71&lt;$D$71,"Too Fast",E71="DQ","DQ")</f>
        <v>3</v>
      </c>
      <c r="G72" s="9">
        <f>IF(G71="DQ",0,IF(G71&lt;$D$71,0,1+COUNTIFS($E$71:$K$71,"DQ")+COUNTIFS($E$71:$K$71,"&lt;"&amp;$D$71)+COUNTIF($E$71:$K$71,"&gt;"&amp;G71)))</f>
        <v>4</v>
      </c>
      <c r="H72" s="14" cm="1">
        <f t="array" ref="H72">_xlfn.IFS(G72=4,1,G72=3,2,G72=2,3,G72=1,4,G71&lt;$D$71,"Too Fast",G71="DQ","DQ")</f>
        <v>1</v>
      </c>
      <c r="I72" s="9">
        <f>IF(I71="DQ",0,IF(I71&lt;$D$71,0,1+COUNTIFS($E$71:$K$71,"DQ")+COUNTIFS($E$71:$K$71,"&lt;"&amp;$D$71)+COUNTIF($E$71:$K$71,"&gt;"&amp;I71)))</f>
        <v>0</v>
      </c>
      <c r="J72" s="14" t="str" cm="1">
        <f t="array" ref="J72">_xlfn.IFS(I72=4,1,I72=3,2,I72=2,3,I72=1,4,I71&lt;$D$71,"Too Fast",I71="DQ","DQ")</f>
        <v>Too Fast</v>
      </c>
      <c r="K72" s="9">
        <f>IF(K71="DQ",0,IF(K71&lt;$D$71,0,1+COUNTIFS($E$71:$K$71,"DQ")+COUNTIFS($E$71:$K$71,"&lt;"&amp;$D$71)+COUNTIF($E$71:$K$71,"&gt;"&amp;K71)))</f>
        <v>3</v>
      </c>
      <c r="L72" s="25" cm="1">
        <f t="array" ref="L72">_xlfn.IFS(K72=4,1,K72=3,2,K72=2,3,K72=1,4,K71&lt;$D$71,"Too Fast",K71="DQ","DQ")</f>
        <v>2</v>
      </c>
      <c r="M72" s="31" t="b">
        <v>1</v>
      </c>
    </row>
    <row r="73" spans="1:17" x14ac:dyDescent="0.3">
      <c r="A73" s="5">
        <v>33</v>
      </c>
      <c r="B73" s="10" t="s">
        <v>65</v>
      </c>
      <c r="C73" s="2" t="s">
        <v>35</v>
      </c>
      <c r="D73" s="16">
        <v>3.3912037037037032E-4</v>
      </c>
      <c r="E73" s="41">
        <v>3.8923611111111114E-4</v>
      </c>
      <c r="F73" s="42"/>
      <c r="G73" s="41">
        <v>3.7060185185185189E-4</v>
      </c>
      <c r="H73" s="42"/>
      <c r="I73" s="41">
        <v>3.5324074074074072E-4</v>
      </c>
      <c r="J73" s="42"/>
      <c r="K73" s="41">
        <v>4.1608796296296299E-4</v>
      </c>
      <c r="L73" s="43"/>
      <c r="M73" s="28"/>
    </row>
    <row r="74" spans="1:17" x14ac:dyDescent="0.3">
      <c r="A74" s="7"/>
      <c r="B74" s="8"/>
      <c r="C74" s="4" t="s">
        <v>15</v>
      </c>
      <c r="D74" s="16"/>
      <c r="E74" s="9">
        <f>IF(E73="DQ",0,IF(E73&lt;$D$73,0,1+COUNTIFS($E$73:$K$73,"DQ")+COUNTIFS($E$73:$K$73,"&lt;"&amp;$D$73)+COUNTIF($E$73:$K$73,"&gt;"&amp;E73)))</f>
        <v>2</v>
      </c>
      <c r="F74" s="14" cm="1">
        <f t="array" ref="F74">_xlfn.IFS(E74=4,1,E74=3,2,E74=2,3,E74=1,4,E73&lt;$D$73,"Too Fast",E73="DQ","DQ")</f>
        <v>3</v>
      </c>
      <c r="G74" s="9">
        <f>IF(G73="DQ",0,IF(G73&lt;$D$73,0,1+COUNTIFS($E$73:$K$73,"DQ")+COUNTIFS($E$73:$K$73,"&lt;"&amp;$D$73)+COUNTIF($E$73:$K$73,"&gt;"&amp;G73)))</f>
        <v>3</v>
      </c>
      <c r="H74" s="14" cm="1">
        <f t="array" ref="H74">_xlfn.IFS(G74=4,1,G74=3,2,G74=2,3,G74=1,4,G73&lt;$D$73,"Too Fast",G73="DQ","DQ")</f>
        <v>2</v>
      </c>
      <c r="I74" s="9">
        <f>IF(I73="DQ",0,IF(I73&lt;$D$73,0,1+COUNTIFS($E$73:$K$73,"DQ")+COUNTIFS($E$73:$K$73,"&lt;"&amp;$D$73)+COUNTIF($E$73:$K$73,"&gt;"&amp;I73)))</f>
        <v>4</v>
      </c>
      <c r="J74" s="14" cm="1">
        <f t="array" ref="J74">_xlfn.IFS(I74=4,1,I74=3,2,I74=2,3,I74=1,4,I73&lt;$D$73,"Too Fast",I73="DQ","DQ")</f>
        <v>1</v>
      </c>
      <c r="K74" s="9">
        <f>IF(K73="DQ",0,IF(K73&lt;$D$73,0,1+COUNTIFS($E$73:$K$73,"DQ")+COUNTIFS($E$73:$K$73,"&lt;"&amp;$D$73)+COUNTIF($E$73:$K$73,"&gt;"&amp;K73)))</f>
        <v>1</v>
      </c>
      <c r="L74" s="25" cm="1">
        <f t="array" ref="L74">_xlfn.IFS(K74=4,1,K74=3,2,K74=2,3,K74=1,4,K73&lt;$D$73,"Too Fast",K73="DQ","DQ")</f>
        <v>4</v>
      </c>
      <c r="M74" s="31" t="b">
        <v>1</v>
      </c>
    </row>
    <row r="75" spans="1:17" x14ac:dyDescent="0.3">
      <c r="A75" s="5">
        <v>34</v>
      </c>
      <c r="B75" s="10" t="s">
        <v>66</v>
      </c>
      <c r="C75" s="2" t="s">
        <v>35</v>
      </c>
      <c r="D75" s="16">
        <v>3.2523148148148152E-4</v>
      </c>
      <c r="E75" s="41">
        <v>3.7442129629629631E-4</v>
      </c>
      <c r="F75" s="42"/>
      <c r="G75" s="41">
        <v>3.3043981481481482E-4</v>
      </c>
      <c r="H75" s="42"/>
      <c r="I75" s="41">
        <v>3.4131944444444444E-4</v>
      </c>
      <c r="J75" s="42"/>
      <c r="K75" s="41">
        <v>4.2650462962962965E-4</v>
      </c>
      <c r="L75" s="43"/>
      <c r="M75" s="28"/>
    </row>
    <row r="76" spans="1:17" x14ac:dyDescent="0.3">
      <c r="A76" s="7"/>
      <c r="B76" s="8"/>
      <c r="C76" s="4" t="s">
        <v>15</v>
      </c>
      <c r="D76" s="16"/>
      <c r="E76" s="9">
        <f>IF(E75="DQ",0,IF(E75&lt;$D$75,0,1+COUNTIFS($E$75:$K$75,"DQ")+COUNTIFS($E$75:$K$75,"&lt;"&amp;$D$75)+COUNTIF($E$75:$K$75,"&gt;"&amp;E75)))</f>
        <v>2</v>
      </c>
      <c r="F76" s="14" cm="1">
        <f t="array" ref="F76">_xlfn.IFS(E76=4,1,E76=3,2,E76=2,3,E76=1,4,E75&lt;$D$75,"Too Fast",E75="DQ","DQ")</f>
        <v>3</v>
      </c>
      <c r="G76" s="9">
        <f>IF(G75="DQ",0,IF(G75&lt;$D$75,0,1+COUNTIFS($E$75:$K$75,"DQ")+COUNTIFS($E$75:$K$75,"&lt;"&amp;$D$75)+COUNTIF($E$75:$K$75,"&gt;"&amp;G75)))</f>
        <v>4</v>
      </c>
      <c r="H76" s="14" cm="1">
        <f t="array" ref="H76">_xlfn.IFS(G76=4,1,G76=3,2,G76=2,3,G76=1,4,G75&lt;$D$75,"Too Fast",G75="DQ","DQ")</f>
        <v>1</v>
      </c>
      <c r="I76" s="9">
        <f>IF(I75="DQ",0,IF(I75&lt;$D$75,0,1+COUNTIFS($E$75:$K$75,"DQ")+COUNTIFS($E$75:$K$75,"&lt;"&amp;$D$75)+COUNTIF($E$75:$K$75,"&gt;"&amp;I75)))</f>
        <v>3</v>
      </c>
      <c r="J76" s="14" cm="1">
        <f t="array" ref="J76">_xlfn.IFS(I76=4,1,I76=3,2,I76=2,3,I76=1,4,I75&lt;$D$75,"Too Fast",I75="DQ","DQ")</f>
        <v>2</v>
      </c>
      <c r="K76" s="9">
        <f>IF(K75="DQ",0,IF(K75&lt;$D$75,0,1+COUNTIFS($E$75:$K$75,"DQ")+COUNTIFS($E$75:$K$75,"&lt;"&amp;$D$75)+COUNTIF($E$75:$K$75,"&gt;"&amp;K75)))</f>
        <v>1</v>
      </c>
      <c r="L76" s="25" cm="1">
        <f t="array" ref="L76">_xlfn.IFS(K76=4,1,K76=3,2,K76=2,3,K76=1,4,K75&lt;$D$75,"Too Fast",K75="DQ","DQ")</f>
        <v>4</v>
      </c>
      <c r="M76" s="31" t="b">
        <v>1</v>
      </c>
    </row>
    <row r="77" spans="1:17" x14ac:dyDescent="0.3">
      <c r="A77" s="5">
        <v>35</v>
      </c>
      <c r="B77" s="10" t="s">
        <v>67</v>
      </c>
      <c r="C77" s="2" t="s">
        <v>12</v>
      </c>
      <c r="D77" s="16">
        <v>9.5023148148148159E-4</v>
      </c>
      <c r="E77" s="41">
        <v>1.0552083333333333E-3</v>
      </c>
      <c r="F77" s="42"/>
      <c r="G77" s="41">
        <v>1.0537037037037036E-3</v>
      </c>
      <c r="H77" s="42"/>
      <c r="I77" s="41">
        <v>1.0342592592592593E-3</v>
      </c>
      <c r="J77" s="42"/>
      <c r="K77" s="41">
        <v>9.7557870370370366E-4</v>
      </c>
      <c r="L77" s="43"/>
      <c r="M77" s="28"/>
    </row>
    <row r="78" spans="1:17" x14ac:dyDescent="0.3">
      <c r="A78" s="7"/>
      <c r="B78" s="8"/>
      <c r="C78" s="4" t="s">
        <v>15</v>
      </c>
      <c r="D78" s="16"/>
      <c r="E78" s="9">
        <f>IF(E77="DQ",0,IF(E77&lt;$D$77,0,1+COUNTIFS($E$77:$K$77,"DQ")+COUNTIFS($E$77:$K$77,"&lt;"&amp;$D$77)+COUNTIF($E$77:$K$77,"&gt;"&amp;E77)))</f>
        <v>1</v>
      </c>
      <c r="F78" s="14" cm="1">
        <f t="array" ref="F78">_xlfn.IFS(E78=4,1,E78=3,2,E78=2,3,E78=1,4,E77&lt;$D$77,"Too Fast",E77="DQ","DQ")</f>
        <v>4</v>
      </c>
      <c r="G78" s="9">
        <f>IF(G77="DQ",0,IF(G77&lt;$D$77,0,1+COUNTIFS($E$77:$K$77,"DQ")+COUNTIFS($E$77:$K$77,"&lt;"&amp;$D$77)+COUNTIF($E$77:$K$77,"&gt;"&amp;G77)))</f>
        <v>2</v>
      </c>
      <c r="H78" s="14" cm="1">
        <f t="array" ref="H78">_xlfn.IFS(G78=4,1,G78=3,2,G78=2,3,G78=1,4,G77&lt;$D$77,"Too Fast",G77="DQ","DQ")</f>
        <v>3</v>
      </c>
      <c r="I78" s="9">
        <f>IF(I77="DQ",0,IF(I77&lt;$D$77,0,1+COUNTIFS($E$77:$K$77,"DQ")+COUNTIFS($E$77:$K$77,"&lt;"&amp;$D$77)+COUNTIF($E$77:$K$77,"&gt;"&amp;I77)))</f>
        <v>3</v>
      </c>
      <c r="J78" s="14" cm="1">
        <f t="array" ref="J78">_xlfn.IFS(I78=4,1,I78=3,2,I78=2,3,I78=1,4,I77&lt;$D$77,"Too Fast",I77="DQ","DQ")</f>
        <v>2</v>
      </c>
      <c r="K78" s="9">
        <f>IF(K77="DQ",0,IF(K77&lt;$D$77,0,1+COUNTIFS($E$77:$K$77,"DQ")+COUNTIFS($E$77:$K$77,"&lt;"&amp;$D$77)+COUNTIF($E$77:$K$77,"&gt;"&amp;K77)))</f>
        <v>4</v>
      </c>
      <c r="L78" s="25" cm="1">
        <f t="array" ref="L78">_xlfn.IFS(K78=4,1,K78=3,2,K78=2,3,K78=1,4,K77&lt;$D$77,"Too Fast",K77="DQ","DQ")</f>
        <v>1</v>
      </c>
      <c r="M78" s="31" t="b">
        <v>1</v>
      </c>
    </row>
    <row r="79" spans="1:17" x14ac:dyDescent="0.3">
      <c r="A79" s="5">
        <v>36</v>
      </c>
      <c r="B79" s="10" t="s">
        <v>68</v>
      </c>
      <c r="C79" s="2" t="s">
        <v>12</v>
      </c>
      <c r="D79" s="16">
        <v>8.5532407407407399E-4</v>
      </c>
      <c r="E79" s="41">
        <v>9.5023148148148137E-4</v>
      </c>
      <c r="F79" s="42"/>
      <c r="G79" s="41">
        <v>1.0162037037037036E-3</v>
      </c>
      <c r="H79" s="42"/>
      <c r="I79" s="41">
        <v>9.1168981481481472E-4</v>
      </c>
      <c r="J79" s="42"/>
      <c r="K79" s="41">
        <v>9.5405092592592601E-4</v>
      </c>
      <c r="L79" s="43"/>
      <c r="M79" s="28"/>
    </row>
    <row r="80" spans="1:17" x14ac:dyDescent="0.3">
      <c r="A80" s="7"/>
      <c r="B80" s="8"/>
      <c r="C80" s="4" t="s">
        <v>15</v>
      </c>
      <c r="D80" s="16"/>
      <c r="E80" s="9">
        <f>IF(E79="DQ",0,IF(E79&lt;$D$79,0,1+COUNTIFS($E$79:$K$79,"DQ")+COUNTIFS($E$79:$K$79,"&lt;"&amp;$D$79)+COUNTIF($E$79:$K$79,"&gt;"&amp;E79)))</f>
        <v>3</v>
      </c>
      <c r="F80" s="14" cm="1">
        <f t="array" ref="F80">_xlfn.IFS(E80=4,1,E80=3,2,E80=2,3,E80=1,4,E79&lt;$D$79,"Too Fast",E79="DQ","DQ")</f>
        <v>2</v>
      </c>
      <c r="G80" s="9">
        <f>IF(G79="DQ",0,IF(G79&lt;$D$79,0,1+COUNTIFS($E$79:$K$79,"DQ")+COUNTIFS($E$79:$K$79,"&lt;"&amp;$D$79)+COUNTIF($E$79:$K$79,"&gt;"&amp;G79)))</f>
        <v>1</v>
      </c>
      <c r="H80" s="14" cm="1">
        <f t="array" ref="H80">_xlfn.IFS(G80=4,1,G80=3,2,G80=2,3,G80=1,4,G79&lt;$D$79,"Too Fast",G79="DQ","DQ")</f>
        <v>4</v>
      </c>
      <c r="I80" s="9">
        <f>IF(I79="DQ",0,IF(I79&lt;$D$79,0,1+COUNTIFS($E$79:$K$79,"DQ")+COUNTIFS($E$79:$K$79,"&lt;"&amp;$D$79)+COUNTIF($E$79:$K$79,"&gt;"&amp;I79)))</f>
        <v>4</v>
      </c>
      <c r="J80" s="14" cm="1">
        <f t="array" ref="J80">_xlfn.IFS(I80=4,1,I80=3,2,I80=2,3,I80=1,4,I79&lt;$D$79,"Too Fast",I79="DQ","DQ")</f>
        <v>1</v>
      </c>
      <c r="K80" s="9">
        <f>IF(K79="DQ",0,IF(K79&lt;$D$79,0,1+COUNTIFS($E$79:$K$79,"DQ")+COUNTIFS($E$79:$K$79,"&lt;"&amp;$D$79)+COUNTIF($E$79:$K$79,"&gt;"&amp;K79)))</f>
        <v>2</v>
      </c>
      <c r="L80" s="25" cm="1">
        <f t="array" ref="L80">_xlfn.IFS(K80=4,1,K80=3,2,K80=2,3,K80=1,4,K79&lt;$D$79,"Too Fast",K79="DQ","DQ")</f>
        <v>3</v>
      </c>
      <c r="M80" s="31" t="b">
        <v>1</v>
      </c>
    </row>
    <row r="81" spans="1:13" x14ac:dyDescent="0.3">
      <c r="A81" s="5">
        <v>37</v>
      </c>
      <c r="B81" s="10" t="s">
        <v>69</v>
      </c>
      <c r="C81" s="2" t="s">
        <v>12</v>
      </c>
      <c r="D81" s="16">
        <v>6.8425925925925913E-4</v>
      </c>
      <c r="E81" s="41">
        <v>8.0833333333333332E-4</v>
      </c>
      <c r="F81" s="42"/>
      <c r="G81" s="41">
        <v>7.9652777777777773E-4</v>
      </c>
      <c r="H81" s="42"/>
      <c r="I81" s="41">
        <v>8.5162037037037031E-4</v>
      </c>
      <c r="J81" s="42"/>
      <c r="K81" s="41">
        <v>8.5208333333333338E-4</v>
      </c>
      <c r="L81" s="43"/>
      <c r="M81" s="28"/>
    </row>
    <row r="82" spans="1:13" x14ac:dyDescent="0.3">
      <c r="A82" s="7"/>
      <c r="B82" s="8"/>
      <c r="C82" s="4" t="s">
        <v>15</v>
      </c>
      <c r="D82" s="16"/>
      <c r="E82" s="9">
        <f>IF(E81="DQ",0,IF(E81&lt;$D$81,0,1+COUNTIFS($E$81:$K$81,"DQ")+COUNTIFS($E$81:$K$81,"&lt;"&amp;$D$81)+COUNTIF($E$81:$K$81,"&gt;"&amp;E81)))</f>
        <v>3</v>
      </c>
      <c r="F82" s="14" cm="1">
        <f t="array" ref="F82">_xlfn.IFS(E82=4,1,E82=3,2,E82=2,3,E82=1,4,E81&lt;$D$81,"Too Fast",E81="DQ","DQ")</f>
        <v>2</v>
      </c>
      <c r="G82" s="9">
        <f>IF(G81="DQ",0,IF(G81&lt;$D$81,0,1+COUNTIFS($E$81:$K$81,"DQ")+COUNTIFS($E$81:$K$81,"&lt;"&amp;$D$81)+COUNTIF($E$81:$K$81,"&gt;"&amp;G81)))</f>
        <v>4</v>
      </c>
      <c r="H82" s="14" cm="1">
        <f t="array" ref="H82">_xlfn.IFS(G82=4,1,G82=3,2,G82=2,3,G82=1,4,G81&lt;$D$81,"Too Fast",G81="DQ","DQ")</f>
        <v>1</v>
      </c>
      <c r="I82" s="9">
        <f>IF(I81="DQ",0,IF(I81&lt;$D$81,0,1+COUNTIFS($E$81:$K$81,"DQ")+COUNTIFS($E$81:$K$81,"&lt;"&amp;$D$81)+COUNTIF($E$81:$K$81,"&gt;"&amp;I81)))</f>
        <v>2</v>
      </c>
      <c r="J82" s="14" cm="1">
        <f t="array" ref="J82">_xlfn.IFS(I82=4,1,I82=3,2,I82=2,3,I82=1,4,I81&lt;$D$81,"Too Fast",I81="DQ","DQ")</f>
        <v>3</v>
      </c>
      <c r="K82" s="9">
        <f>IF(K81="DQ",0,IF(K81&lt;$D$81,0,1+COUNTIFS($E$81:$K$81,"DQ")+COUNTIFS($E$81:$K$81,"&lt;"&amp;$D$81)+COUNTIF($E$81:$K$81,"&gt;"&amp;K81)))</f>
        <v>1</v>
      </c>
      <c r="L82" s="25" cm="1">
        <f t="array" ref="L82">_xlfn.IFS(K82=4,1,K82=3,2,K82=2,3,K82=1,4,K81&lt;$D$81,"Too Fast",K81="DQ","DQ")</f>
        <v>4</v>
      </c>
      <c r="M82" s="31" t="b">
        <v>1</v>
      </c>
    </row>
    <row r="83" spans="1:13" x14ac:dyDescent="0.3">
      <c r="A83" s="5">
        <v>38</v>
      </c>
      <c r="B83" s="10" t="s">
        <v>70</v>
      </c>
      <c r="C83" s="2" t="s">
        <v>12</v>
      </c>
      <c r="D83" s="16">
        <v>6.8564814814814823E-4</v>
      </c>
      <c r="E83" s="41">
        <v>9.0752314814814808E-4</v>
      </c>
      <c r="F83" s="42"/>
      <c r="G83" s="41">
        <v>8.3124999999999996E-4</v>
      </c>
      <c r="H83" s="42"/>
      <c r="I83" s="41">
        <v>8.1956018518518521E-4</v>
      </c>
      <c r="J83" s="42"/>
      <c r="K83" s="41">
        <v>9.0578703703703709E-4</v>
      </c>
      <c r="L83" s="43"/>
      <c r="M83" s="28"/>
    </row>
    <row r="84" spans="1:13" x14ac:dyDescent="0.3">
      <c r="A84" s="7"/>
      <c r="B84" s="8"/>
      <c r="C84" s="4" t="s">
        <v>15</v>
      </c>
      <c r="D84" s="16"/>
      <c r="E84" s="9">
        <f>IF(E83="DQ",0,IF(E83&lt;$D$83,0,1+COUNTIFS($E$83:$K$83,"DQ")+COUNTIFS($E$83:$K$83,"&lt;"&amp;$D$83)+COUNTIF($E$83:$K$83,"&gt;"&amp;E83)))</f>
        <v>1</v>
      </c>
      <c r="F84" s="14" cm="1">
        <f t="array" ref="F84">_xlfn.IFS(E84=4,1,E84=3,2,E84=2,3,E84=1,4,E83&lt;$D$83,"Too Fast",E83="DQ","DQ")</f>
        <v>4</v>
      </c>
      <c r="G84" s="9">
        <f>IF(G83="DQ",0,IF(G83&lt;$D$83,0,1+COUNTIFS($E$83:$K$83,"DQ")+COUNTIFS($E$83:$K$83,"&lt;"&amp;$D$83)+COUNTIF($E$83:$K$83,"&gt;"&amp;G83)))</f>
        <v>3</v>
      </c>
      <c r="H84" s="14" cm="1">
        <f t="array" ref="H84">_xlfn.IFS(G84=4,1,G84=3,2,G84=2,3,G84=1,4,G83&lt;$D$83,"Too Fast",G83="DQ","DQ")</f>
        <v>2</v>
      </c>
      <c r="I84" s="9">
        <f>IF(I83="DQ",0,IF(I83&lt;$D$83,0,1+COUNTIFS($E$83:$K$83,"DQ")+COUNTIFS($E$83:$K$83,"&lt;"&amp;$D$83)+COUNTIF($E$83:$K$83,"&gt;"&amp;I83)))</f>
        <v>4</v>
      </c>
      <c r="J84" s="14" cm="1">
        <f t="array" ref="J84">_xlfn.IFS(I84=4,1,I84=3,2,I84=2,3,I84=1,4,I83&lt;$D$83,"Too Fast",I83="DQ","DQ")</f>
        <v>1</v>
      </c>
      <c r="K84" s="9">
        <f>IF(K83="DQ",0,IF(K83&lt;$D$83,0,1+COUNTIFS($E$83:$K$83,"DQ")+COUNTIFS($E$83:$K$83,"&lt;"&amp;$D$83)+COUNTIF($E$83:$K$83,"&gt;"&amp;K83)))</f>
        <v>2</v>
      </c>
      <c r="L84" s="25" cm="1">
        <f t="array" ref="L84">_xlfn.IFS(K84=4,1,K84=3,2,K84=2,3,K84=1,4,K83&lt;$D$83,"Too Fast",K83="DQ","DQ")</f>
        <v>3</v>
      </c>
      <c r="M84" s="31" t="b">
        <v>1</v>
      </c>
    </row>
    <row r="85" spans="1:13" x14ac:dyDescent="0.3">
      <c r="A85" s="5">
        <v>39</v>
      </c>
      <c r="B85" s="10" t="s">
        <v>71</v>
      </c>
      <c r="C85" s="2" t="s">
        <v>12</v>
      </c>
      <c r="D85" s="16">
        <v>7.4768518518518511E-4</v>
      </c>
      <c r="E85" s="41">
        <v>8.564814814814815E-4</v>
      </c>
      <c r="F85" s="42"/>
      <c r="G85" s="41">
        <v>8.2141203703703705E-4</v>
      </c>
      <c r="H85" s="42"/>
      <c r="I85" s="41">
        <v>8.9664351851851851E-4</v>
      </c>
      <c r="J85" s="42"/>
      <c r="K85" s="41">
        <v>1.0708333333333334E-3</v>
      </c>
      <c r="L85" s="43"/>
      <c r="M85" s="28"/>
    </row>
    <row r="86" spans="1:13" x14ac:dyDescent="0.3">
      <c r="A86" s="7"/>
      <c r="B86" s="8"/>
      <c r="C86" s="4" t="s">
        <v>15</v>
      </c>
      <c r="D86" s="16"/>
      <c r="E86" s="9">
        <f>IF(E85="DQ",0,IF(E85&lt;$D$85,0,1+COUNTIFS($E$85:$K$85,"DQ")+COUNTIFS($E$85:$K$85,"&lt;"&amp;$D$85)+COUNTIF($E$85:$K$85,"&gt;"&amp;E85)))</f>
        <v>3</v>
      </c>
      <c r="F86" s="14" cm="1">
        <f t="array" ref="F86">_xlfn.IFS(E86=4,1,E86=3,2,E86=2,3,E86=1,4,E85&lt;$D$85,"Too Fast",E85="DQ","DQ")</f>
        <v>2</v>
      </c>
      <c r="G86" s="9">
        <f>IF(G85="DQ",0,IF(G85&lt;$D$85,0,1+COUNTIFS($E$85:$K$85,"DQ")+COUNTIFS($E$85:$K$85,"&lt;"&amp;$D$85)+COUNTIF($E$85:$K$85,"&gt;"&amp;G85)))</f>
        <v>4</v>
      </c>
      <c r="H86" s="14" cm="1">
        <f t="array" ref="H86">_xlfn.IFS(G86=4,1,G86=3,2,G86=2,3,G86=1,4,G85&lt;$D$85,"Too Fast",G85="DQ","DQ")</f>
        <v>1</v>
      </c>
      <c r="I86" s="9">
        <f>IF(I85="DQ",0,IF(I85&lt;$D$85,0,1+COUNTIFS($E$85:$K$85,"DQ")+COUNTIFS($E$85:$K$85,"&lt;"&amp;$D$85)+COUNTIF($E$85:$K$85,"&gt;"&amp;I85)))</f>
        <v>2</v>
      </c>
      <c r="J86" s="14" cm="1">
        <f t="array" ref="J86">_xlfn.IFS(I86=4,1,I86=3,2,I86=2,3,I86=1,4,I85&lt;$D$85,"Too Fast",I85="DQ","DQ")</f>
        <v>3</v>
      </c>
      <c r="K86" s="9">
        <f>IF(K85="DQ",0,IF(K85&lt;$D$85,0,1+COUNTIFS($E$85:$K$85,"DQ")+COUNTIFS($E$85:$K$85,"&lt;"&amp;$D$85)+COUNTIF($E$85:$K$85,"&gt;"&amp;K85)))</f>
        <v>1</v>
      </c>
      <c r="L86" s="25" cm="1">
        <f t="array" ref="L86">_xlfn.IFS(K86=4,1,K86=3,2,K86=2,3,K86=1,4,K85&lt;$D$85,"Too Fast",K85="DQ","DQ")</f>
        <v>4</v>
      </c>
      <c r="M86" s="31" t="b">
        <v>1</v>
      </c>
    </row>
    <row r="87" spans="1:13" x14ac:dyDescent="0.3">
      <c r="A87" s="5">
        <v>40</v>
      </c>
      <c r="B87" s="10" t="s">
        <v>72</v>
      </c>
      <c r="C87" s="2" t="s">
        <v>12</v>
      </c>
      <c r="D87" s="16">
        <v>7.1921296296296306E-4</v>
      </c>
      <c r="E87" s="41">
        <v>1.0200231481481482E-3</v>
      </c>
      <c r="F87" s="42"/>
      <c r="G87" s="41">
        <v>8.6759259259259266E-4</v>
      </c>
      <c r="H87" s="42"/>
      <c r="I87" s="41">
        <v>9.5335648148148157E-4</v>
      </c>
      <c r="J87" s="42"/>
      <c r="K87" s="41">
        <v>1.0131944444444444E-3</v>
      </c>
      <c r="L87" s="43"/>
      <c r="M87" s="28"/>
    </row>
    <row r="88" spans="1:13" x14ac:dyDescent="0.3">
      <c r="A88" s="7"/>
      <c r="B88" s="8"/>
      <c r="C88" s="4" t="s">
        <v>15</v>
      </c>
      <c r="D88" s="16"/>
      <c r="E88" s="9">
        <f>IF(E87="DQ",0,IF(E87&lt;$D$87,0,1+COUNTIFS($E$87:$K$87,"DQ")+COUNTIFS($E$87:$K$87,"&lt;"&amp;$D$87)+COUNTIF($E$87:$K$87,"&gt;"&amp;E87)))</f>
        <v>1</v>
      </c>
      <c r="F88" s="14" cm="1">
        <f t="array" ref="F88">_xlfn.IFS(E88=4,1,E88=3,2,E88=2,3,E88=1,4,E87&lt;$D$87,"Too Fast",E87="DQ","DQ")</f>
        <v>4</v>
      </c>
      <c r="G88" s="9">
        <f>IF(G87="DQ",0,IF(G87&lt;$D$87,0,1+COUNTIFS($E$87:$K$87,"DQ")+COUNTIFS($E$87:$K$87,"&lt;"&amp;$D$87)+COUNTIF($E$87:$K$87,"&gt;"&amp;G87)))</f>
        <v>4</v>
      </c>
      <c r="H88" s="14" cm="1">
        <f t="array" ref="H88">_xlfn.IFS(G88=4,1,G88=3,2,G88=2,3,G88=1,4,G87&lt;$D$87,"Too Fast",G87="DQ","DQ")</f>
        <v>1</v>
      </c>
      <c r="I88" s="9">
        <f>IF(I87="DQ",0,IF(I87&lt;$D$87,0,1+COUNTIFS($E$87:$K$87,"DQ")+COUNTIFS($E$87:$K$87,"&lt;"&amp;$D$87)+COUNTIF($E$87:$K$87,"&gt;"&amp;I87)))</f>
        <v>3</v>
      </c>
      <c r="J88" s="14" cm="1">
        <f t="array" ref="J88">_xlfn.IFS(I88=4,1,I88=3,2,I88=2,3,I88=1,4,I87&lt;$D$87,"Too Fast",I87="DQ","DQ")</f>
        <v>2</v>
      </c>
      <c r="K88" s="9">
        <f>IF(K87="DQ",0,IF(K87&lt;$D$87,0,1+COUNTIFS($E$87:$K$87,"DQ")+COUNTIFS($E$87:$K$87,"&lt;"&amp;$D$87)+COUNTIF($E$87:$K$87,"&gt;"&amp;K87)))</f>
        <v>2</v>
      </c>
      <c r="L88" s="25" cm="1">
        <f t="array" ref="L88">_xlfn.IFS(K88=4,1,K88=3,2,K88=2,3,K88=1,4,K87&lt;$D$87,"Too Fast",K87="DQ","DQ")</f>
        <v>3</v>
      </c>
      <c r="M88" s="31" t="b">
        <v>1</v>
      </c>
    </row>
    <row r="89" spans="1:13" x14ac:dyDescent="0.3">
      <c r="A89" s="2"/>
      <c r="B89" s="12" t="s">
        <v>73</v>
      </c>
      <c r="C89" s="4" t="s">
        <v>15</v>
      </c>
      <c r="D89" s="16"/>
      <c r="E89" s="19">
        <f>E68+E70+E72+E74+E76+E78+E80+E82+E84+E86+E88</f>
        <v>105</v>
      </c>
      <c r="F89" s="40"/>
      <c r="G89" s="19">
        <f t="shared" ref="G89:K89" si="33">G68+G70+G72+G74+G76+G78+G80+G82+G84+G86+G88</f>
        <v>124</v>
      </c>
      <c r="H89" s="40"/>
      <c r="I89" s="19">
        <f t="shared" si="33"/>
        <v>111</v>
      </c>
      <c r="J89" s="40"/>
      <c r="K89" s="19">
        <f t="shared" si="33"/>
        <v>56</v>
      </c>
      <c r="L89" s="39"/>
      <c r="M89" s="28"/>
    </row>
    <row r="90" spans="1:13" x14ac:dyDescent="0.3">
      <c r="A90" s="5">
        <v>41</v>
      </c>
      <c r="B90" s="10" t="s">
        <v>74</v>
      </c>
      <c r="C90" s="2" t="s">
        <v>35</v>
      </c>
      <c r="D90" s="16">
        <v>3.7615740740740735E-4</v>
      </c>
      <c r="E90" s="41">
        <v>4.8807870370370373E-4</v>
      </c>
      <c r="F90" s="42"/>
      <c r="G90" s="41">
        <v>3.9270833333333334E-4</v>
      </c>
      <c r="H90" s="42"/>
      <c r="I90" s="41">
        <v>3.9861111111111108E-4</v>
      </c>
      <c r="J90" s="42"/>
      <c r="K90" s="41">
        <v>4.7361111111111112E-4</v>
      </c>
      <c r="L90" s="43"/>
      <c r="M90" s="28"/>
    </row>
    <row r="91" spans="1:13" x14ac:dyDescent="0.3">
      <c r="A91" s="7"/>
      <c r="B91" s="8"/>
      <c r="C91" s="4" t="s">
        <v>15</v>
      </c>
      <c r="D91" s="16"/>
      <c r="E91" s="9">
        <f>IF(E90="DQ",0,IF(E90&lt;$D$90,0,1+COUNTIFS($E$90:$K$90,"DQ")+COUNTIFS($E$90:$K$90,"&lt;"&amp;$D$90)+COUNTIF($E$90:$K$90,"&gt;"&amp;E90)))</f>
        <v>1</v>
      </c>
      <c r="F91" s="14" cm="1">
        <f t="array" ref="F91">_xlfn.IFS(E91=4,1,E91=3,2,E91=2,3,E91=1,4,E90&lt;$D$90,"Too Fast",E90="DQ","DQ")</f>
        <v>4</v>
      </c>
      <c r="G91" s="9">
        <f>IF(G90="DQ",0,IF(G90&lt;$D$90,0,1+COUNTIFS($E$90:$K$90,"DQ")+COUNTIFS($E$90:$K$90,"&lt;"&amp;$D$90)+COUNTIF($E$90:$K$90,"&gt;"&amp;G90)))</f>
        <v>4</v>
      </c>
      <c r="H91" s="14" cm="1">
        <f t="array" ref="H91">_xlfn.IFS(G91=4,1,G91=3,2,G91=2,3,G91=1,4,G90&lt;$D$90,"Too Fast",G90="DQ","DQ")</f>
        <v>1</v>
      </c>
      <c r="I91" s="9">
        <f>IF(I90="DQ",0,IF(I90&lt;$D$90,0,1+COUNTIFS($E$90:$K$90,"DQ")+COUNTIFS($E$90:$K$90,"&lt;"&amp;$D$90)+COUNTIF($E$90:$K$90,"&gt;"&amp;I90)))</f>
        <v>3</v>
      </c>
      <c r="J91" s="14" cm="1">
        <f t="array" ref="J91">_xlfn.IFS(I91=4,1,I91=3,2,I91=2,3,I91=1,4,I90&lt;$D$90,"Too Fast",I90="DQ","DQ")</f>
        <v>2</v>
      </c>
      <c r="K91" s="9">
        <f>IF(K90="DQ",0,IF(K90&lt;$D$90,0,1+COUNTIFS($E$90:$K$90,"DQ")+COUNTIFS($E$90:$K$90,"&lt;"&amp;$D$90)+COUNTIF($E$90:$K$90,"&gt;"&amp;K90)))</f>
        <v>2</v>
      </c>
      <c r="L91" s="25" cm="1">
        <f t="array" ref="L91">_xlfn.IFS(K91=4,1,K91=3,2,K91=2,3,K91=1,4,K90&lt;$D$90,"Too Fast",K90="DQ","DQ")</f>
        <v>3</v>
      </c>
      <c r="M91" s="31" t="b">
        <v>1</v>
      </c>
    </row>
    <row r="92" spans="1:13" x14ac:dyDescent="0.3">
      <c r="A92" s="5">
        <v>42</v>
      </c>
      <c r="B92" s="10" t="s">
        <v>75</v>
      </c>
      <c r="C92" s="2" t="s">
        <v>35</v>
      </c>
      <c r="D92" s="16">
        <v>3.6458333333333335E-4</v>
      </c>
      <c r="E92" s="41">
        <v>3.9525462962962962E-4</v>
      </c>
      <c r="F92" s="42"/>
      <c r="G92" s="41">
        <v>3.7847222222222226E-4</v>
      </c>
      <c r="H92" s="42"/>
      <c r="I92" s="41">
        <v>4.0405092592592587E-4</v>
      </c>
      <c r="J92" s="42"/>
      <c r="K92" s="41">
        <v>5.0393518518518517E-4</v>
      </c>
      <c r="L92" s="43"/>
      <c r="M92" s="28"/>
    </row>
    <row r="93" spans="1:13" x14ac:dyDescent="0.3">
      <c r="A93" s="7"/>
      <c r="B93" s="8"/>
      <c r="C93" s="4" t="s">
        <v>15</v>
      </c>
      <c r="D93" s="16"/>
      <c r="E93" s="9">
        <f>IF(E92="DQ",0,IF(E92&lt;$D$92,0,1+COUNTIFS($E$92:$K$92,"DQ")+COUNTIFS($E$92:$K$92,"&lt;"&amp;$D$92)+COUNTIF($E$92:$K$92,"&gt;"&amp;E92)))</f>
        <v>3</v>
      </c>
      <c r="F93" s="14" cm="1">
        <f t="array" ref="F93">_xlfn.IFS(E93=4,1,E93=3,2,E93=2,3,E93=1,4,E92&lt;$D$92,"Too Fast",E92="DQ","DQ")</f>
        <v>2</v>
      </c>
      <c r="G93" s="9">
        <f>IF(G92="DQ",0,IF(G92&lt;$D$92,0,1+COUNTIFS($E$92:$K$92,"DQ")+COUNTIFS($E$92:$K$92,"&lt;"&amp;$D$92)+COUNTIF($E$92:$K$92,"&gt;"&amp;G92)))</f>
        <v>4</v>
      </c>
      <c r="H93" s="14" cm="1">
        <f t="array" ref="H93">_xlfn.IFS(G93=4,1,G93=3,2,G93=2,3,G93=1,4,G92&lt;$D$92,"Too Fast",G92="DQ","DQ")</f>
        <v>1</v>
      </c>
      <c r="I93" s="9">
        <f>IF(I92="DQ",0,IF(I92&lt;$D$92,0,1+COUNTIFS($E$92:$K$92,"DQ")+COUNTIFS($E$92:$K$92,"&lt;"&amp;$D$92)+COUNTIF($E$92:$K$92,"&gt;"&amp;I92)))</f>
        <v>2</v>
      </c>
      <c r="J93" s="14" cm="1">
        <f t="array" ref="J93">_xlfn.IFS(I93=4,1,I93=3,2,I93=2,3,I93=1,4,I92&lt;$D$92,"Too Fast",I92="DQ","DQ")</f>
        <v>3</v>
      </c>
      <c r="K93" s="9">
        <f>IF(K92="DQ",0,IF(K92&lt;$D$92,0,1+COUNTIFS($E$92:$K$92,"DQ")+COUNTIFS($E$92:$K$92,"&lt;"&amp;$D$92)+COUNTIF($E$92:$K$92,"&gt;"&amp;K92)))</f>
        <v>1</v>
      </c>
      <c r="L93" s="25" cm="1">
        <f t="array" ref="L93">_xlfn.IFS(K93=4,1,K93=3,2,K93=2,3,K93=1,4,K92&lt;$D$92,"Too Fast",K92="DQ","DQ")</f>
        <v>4</v>
      </c>
      <c r="M93" s="31" t="b">
        <v>1</v>
      </c>
    </row>
    <row r="94" spans="1:13" x14ac:dyDescent="0.3">
      <c r="A94" s="5">
        <v>43</v>
      </c>
      <c r="B94" s="10" t="s">
        <v>76</v>
      </c>
      <c r="C94" s="2" t="s">
        <v>12</v>
      </c>
      <c r="D94" s="16">
        <v>7.1874999999999988E-4</v>
      </c>
      <c r="E94" s="41">
        <v>7.6377314814814808E-4</v>
      </c>
      <c r="F94" s="42"/>
      <c r="G94" s="41">
        <v>7.6886574074074086E-4</v>
      </c>
      <c r="H94" s="42"/>
      <c r="I94" s="41">
        <v>7.5277777777777789E-4</v>
      </c>
      <c r="J94" s="42"/>
      <c r="K94" s="41">
        <v>8.2430555555555556E-4</v>
      </c>
      <c r="L94" s="43"/>
      <c r="M94" s="28"/>
    </row>
    <row r="95" spans="1:13" x14ac:dyDescent="0.3">
      <c r="A95" s="8"/>
      <c r="B95" s="8"/>
      <c r="C95" s="4" t="s">
        <v>15</v>
      </c>
      <c r="D95" s="16"/>
      <c r="E95" s="9">
        <f>IF(E94="DQ",0,IF(E94&lt;$D$94,0,1+COUNTIFS($E$94:$K$94,"DQ")+COUNTIFS($E$94:$K$94,"&lt;"&amp;$D$94)+COUNTIF($E$94:$K$94,"&gt;"&amp;E94)))</f>
        <v>3</v>
      </c>
      <c r="F95" s="14" cm="1">
        <f t="array" ref="F95">_xlfn.IFS(E95=4,1,E95=3,2,E95=2,3,E95=1,4,E94&lt;$D$94,"Too Fast",E94="DQ","DQ")</f>
        <v>2</v>
      </c>
      <c r="G95" s="9">
        <f>IF(G94="DQ",0,IF(G94&lt;$D$94,0,1+COUNTIFS($E$94:$K$94,"DQ")+COUNTIFS($E$94:$K$94,"&lt;"&amp;$D$94)+COUNTIF($E$94:$K$94,"&gt;"&amp;G94)))</f>
        <v>2</v>
      </c>
      <c r="H95" s="14" cm="1">
        <f t="array" ref="H95">_xlfn.IFS(G95=4,1,G95=3,2,G95=2,3,G95=1,4,G94&lt;$D$94,"Too Fast",G94="DQ","DQ")</f>
        <v>3</v>
      </c>
      <c r="I95" s="9">
        <f>IF(I94="DQ",0,IF(I94&lt;$D$94,0,1+COUNTIFS($E$94:$K$94,"DQ")+COUNTIFS($E$94:$K$94,"&lt;"&amp;$D$94)+COUNTIF($E$94:$K$94,"&gt;"&amp;I94)))</f>
        <v>4</v>
      </c>
      <c r="J95" s="14" cm="1">
        <f t="array" ref="J95">_xlfn.IFS(I95=4,1,I95=3,2,I95=2,3,I95=1,4,I94&lt;$D$94,"Too Fast",I94="DQ","DQ")</f>
        <v>1</v>
      </c>
      <c r="K95" s="9">
        <f>IF(K94="DQ",0,IF(K94&lt;$D$94,0,1+COUNTIFS($E$94:$K$94,"DQ")+COUNTIFS($E$94:$K$94,"&lt;"&amp;$D$94)+COUNTIF($E$94:$K$94,"&gt;"&amp;K94)))</f>
        <v>1</v>
      </c>
      <c r="L95" s="25" cm="1">
        <f t="array" ref="L95">_xlfn.IFS(K95=4,1,K95=3,2,K95=2,3,K95=1,4,K94&lt;$D$94,"Too Fast",K94="DQ","DQ")</f>
        <v>4</v>
      </c>
      <c r="M95" s="31" t="b">
        <v>1</v>
      </c>
    </row>
    <row r="96" spans="1:13" x14ac:dyDescent="0.3">
      <c r="A96" s="5">
        <v>44</v>
      </c>
      <c r="B96" s="10" t="s">
        <v>77</v>
      </c>
      <c r="C96" s="2" t="s">
        <v>12</v>
      </c>
      <c r="D96" s="16">
        <v>6.4004629629629622E-4</v>
      </c>
      <c r="E96" s="41">
        <v>6.766203703703704E-4</v>
      </c>
      <c r="F96" s="42"/>
      <c r="G96" s="41">
        <v>6.8749999999999996E-4</v>
      </c>
      <c r="H96" s="42"/>
      <c r="I96" s="41">
        <v>6.8668981481481478E-4</v>
      </c>
      <c r="J96" s="42"/>
      <c r="K96" s="41">
        <v>7.8240740740740734E-4</v>
      </c>
      <c r="L96" s="43"/>
      <c r="M96" s="28"/>
    </row>
    <row r="97" spans="1:13" x14ac:dyDescent="0.3">
      <c r="A97" s="7"/>
      <c r="B97" s="8"/>
      <c r="C97" s="4" t="s">
        <v>15</v>
      </c>
      <c r="D97" s="16"/>
      <c r="E97" s="9">
        <f>IF(E96="DQ",0,IF(E96&lt;$D$96,0,1+COUNTIFS($E$96:$K$96,"DQ")+COUNTIFS($E$96:$K$96,"&lt;"&amp;$D$96)+COUNTIF($E$96:$K$96,"&gt;"&amp;E96)))</f>
        <v>4</v>
      </c>
      <c r="F97" s="14" cm="1">
        <f t="array" ref="F97">_xlfn.IFS(E97=4,1,E97=3,2,E97=2,3,E97=1,4,E96&lt;$D$96,"Too Fast",E96="DQ","DQ")</f>
        <v>1</v>
      </c>
      <c r="G97" s="9">
        <f>IF(G96="DQ",0,IF(G96&lt;$D$96,0,1+COUNTIFS($E$96:$K$96,"DQ")+COUNTIFS($E$96:$K$96,"&lt;"&amp;$D$96)+COUNTIF($E$96:$K$96,"&gt;"&amp;G96)))</f>
        <v>2</v>
      </c>
      <c r="H97" s="14" cm="1">
        <f t="array" ref="H97">_xlfn.IFS(G97=4,1,G97=3,2,G97=2,3,G97=1,4,G96&lt;$D$96,"Too Fast",G96="DQ","DQ")</f>
        <v>3</v>
      </c>
      <c r="I97" s="9">
        <f>IF(I96="DQ",0,IF(I96&lt;$D$96,0,1+COUNTIFS($E$96:$K$96,"DQ")+COUNTIFS($E$96:$K$96,"&lt;"&amp;$D$96)+COUNTIF($E$96:$K$96,"&gt;"&amp;I96)))</f>
        <v>3</v>
      </c>
      <c r="J97" s="14" cm="1">
        <f t="array" ref="J97">_xlfn.IFS(I97=4,1,I97=3,2,I97=2,3,I97=1,4,I96&lt;$D$96,"Too Fast",I96="DQ","DQ")</f>
        <v>2</v>
      </c>
      <c r="K97" s="9">
        <f>IF(K96="DQ",0,IF(K96&lt;$D$96,0,1+COUNTIFS($E$96:$K$96,"DQ")+COUNTIFS($E$96:$K$96,"&lt;"&amp;$D$96)+COUNTIF($E$96:$K$96,"&gt;"&amp;K96)))</f>
        <v>1</v>
      </c>
      <c r="L97" s="25" cm="1">
        <f t="array" ref="L97">_xlfn.IFS(K97=4,1,K97=3,2,K97=2,3,K97=1,4,K96&lt;$D$96,"Too Fast",K96="DQ","DQ")</f>
        <v>4</v>
      </c>
      <c r="M97" s="31" t="b">
        <v>1</v>
      </c>
    </row>
    <row r="98" spans="1:13" x14ac:dyDescent="0.3">
      <c r="A98" s="5">
        <v>45</v>
      </c>
      <c r="B98" s="10" t="s">
        <v>78</v>
      </c>
      <c r="C98" s="2" t="s">
        <v>32</v>
      </c>
      <c r="D98" s="16">
        <v>2.3460648148148147E-4</v>
      </c>
      <c r="E98" s="41">
        <v>2.9317129629629626E-4</v>
      </c>
      <c r="F98" s="42"/>
      <c r="G98" s="41">
        <v>2.3993055555555557E-4</v>
      </c>
      <c r="H98" s="42"/>
      <c r="I98" s="41">
        <v>2.5578703703703706E-4</v>
      </c>
      <c r="J98" s="42"/>
      <c r="K98" s="41">
        <v>2.9618055555555555E-4</v>
      </c>
      <c r="L98" s="43"/>
      <c r="M98" s="28"/>
    </row>
    <row r="99" spans="1:13" x14ac:dyDescent="0.3">
      <c r="A99" s="7"/>
      <c r="B99" s="8"/>
      <c r="C99" s="4" t="s">
        <v>15</v>
      </c>
      <c r="D99" s="16"/>
      <c r="E99" s="9">
        <f>IF(E98="DQ",0,IF(E98&lt;$D$98,0,1+COUNTIFS($E$98:$K$98,"DQ")+COUNTIFS($E$98:$K$98,"&lt;"&amp;$D$98)+COUNTIF($E$98:$K$98,"&gt;"&amp;E98)))</f>
        <v>2</v>
      </c>
      <c r="F99" s="14" cm="1">
        <f t="array" ref="F99">_xlfn.IFS(E99=4,1,E99=3,2,E99=2,3,E99=1,4,E98&lt;$D$98,"Too Fast",E98="DQ","DQ")</f>
        <v>3</v>
      </c>
      <c r="G99" s="9">
        <f>IF(G98="DQ",0,IF(G98&lt;$D$98,0,1+COUNTIFS($E$98:$K$98,"DQ")+COUNTIFS($E$98:$K$98,"&lt;"&amp;$D$98)+COUNTIF($E$98:$K$98,"&gt;"&amp;G98)))</f>
        <v>4</v>
      </c>
      <c r="H99" s="14" cm="1">
        <f t="array" ref="H99">_xlfn.IFS(G99=4,1,G99=3,2,G99=2,3,G99=1,4,G98&lt;$D$98,"Too Fast",G98="DQ","DQ")</f>
        <v>1</v>
      </c>
      <c r="I99" s="9">
        <f>IF(I98="DQ",0,IF(I98&lt;$D$98,0,1+COUNTIFS($E$98:$K$98,"DQ")+COUNTIFS($E$98:$K$98,"&lt;"&amp;$D$98)+COUNTIF($E$98:$K$98,"&gt;"&amp;I98)))</f>
        <v>3</v>
      </c>
      <c r="J99" s="14" cm="1">
        <f t="array" ref="J99">_xlfn.IFS(I99=4,1,I99=3,2,I99=2,3,I99=1,4,I98&lt;$D$98,"Too Fast",I98="DQ","DQ")</f>
        <v>2</v>
      </c>
      <c r="K99" s="9">
        <f>IF(K98="DQ",0,IF(K98&lt;$D$98,0,1+COUNTIFS($E$98:$K$98,"DQ")+COUNTIFS($E$98:$K$98,"&lt;"&amp;$D$98)+COUNTIF($E$98:$K$98,"&gt;"&amp;K98)))</f>
        <v>1</v>
      </c>
      <c r="L99" s="25" cm="1">
        <f t="array" ref="L99">_xlfn.IFS(K99=4,1,K99=3,2,K99=2,3,K99=1,4,K98&lt;$D$98,"Too Fast",K98="DQ","DQ")</f>
        <v>4</v>
      </c>
      <c r="M99" s="31" t="b">
        <v>1</v>
      </c>
    </row>
    <row r="100" spans="1:13" x14ac:dyDescent="0.3">
      <c r="A100" s="5">
        <v>46</v>
      </c>
      <c r="B100" s="10" t="s">
        <v>79</v>
      </c>
      <c r="C100" s="2" t="s">
        <v>32</v>
      </c>
      <c r="D100" s="16">
        <v>2.2303240740740739E-4</v>
      </c>
      <c r="E100" s="41">
        <v>2.6898148148148148E-4</v>
      </c>
      <c r="F100" s="42"/>
      <c r="G100" s="41">
        <v>2.4629629629629632E-4</v>
      </c>
      <c r="H100" s="42"/>
      <c r="I100" s="41">
        <v>2.4502314814814818E-4</v>
      </c>
      <c r="J100" s="42"/>
      <c r="K100" s="41">
        <v>2.9664351851851851E-4</v>
      </c>
      <c r="L100" s="43"/>
      <c r="M100" s="28"/>
    </row>
    <row r="101" spans="1:13" x14ac:dyDescent="0.3">
      <c r="A101" s="8"/>
      <c r="B101" s="8"/>
      <c r="C101" s="4" t="s">
        <v>15</v>
      </c>
      <c r="D101" s="16"/>
      <c r="E101" s="9">
        <f>IF(E100="DQ",0,IF(E100&lt;$D$100,0,1+COUNTIFS($E$100:$K$100,"DQ")+COUNTIFS($E$100:$K$100,"&lt;"&amp;$D$100)+COUNTIF($E$100:$K$100,"&gt;"&amp;E100)))</f>
        <v>2</v>
      </c>
      <c r="F101" s="14" cm="1">
        <f t="array" ref="F101">_xlfn.IFS(E101=4,1,E101=3,2,E101=2,3,E101=1,4,E100&lt;$D$100,"Too Fast",E100="DQ","DQ")</f>
        <v>3</v>
      </c>
      <c r="G101" s="9">
        <f>IF(G100="DQ",0,IF(G100&lt;$D$100,0,1+COUNTIFS($E$100:$K$100,"DQ")+COUNTIFS($E$100:$K$100,"&lt;"&amp;$D$100)+COUNTIF($E$100:$K$100,"&gt;"&amp;G100)))</f>
        <v>3</v>
      </c>
      <c r="H101" s="14" cm="1">
        <f t="array" ref="H101">_xlfn.IFS(G101=4,1,G101=3,2,G101=2,3,G101=1,4,G100&lt;$D$100,"Too Fast",G100="DQ","DQ")</f>
        <v>2</v>
      </c>
      <c r="I101" s="9">
        <f>IF(I100="DQ",0,IF(I100&lt;$D$100,0,1+COUNTIFS($E$100:$K$100,"DQ")+COUNTIFS($E$100:$K$100,"&lt;"&amp;$D$100)+COUNTIF($E$100:$K$100,"&gt;"&amp;I100)))</f>
        <v>4</v>
      </c>
      <c r="J101" s="14" cm="1">
        <f t="array" ref="J101">_xlfn.IFS(I101=4,1,I101=3,2,I101=2,3,I101=1,4,I100&lt;$D$100,"Too Fast",I100="DQ","DQ")</f>
        <v>1</v>
      </c>
      <c r="K101" s="9">
        <f>IF(K100="DQ",0,IF(K100&lt;$D$100,0,1+COUNTIFS($E$100:$K$100,"DQ")+COUNTIFS($E$100:$K$100,"&lt;"&amp;$D$100)+COUNTIF($E$100:$K$100,"&gt;"&amp;K100)))</f>
        <v>1</v>
      </c>
      <c r="L101" s="25" cm="1">
        <f t="array" ref="L101">_xlfn.IFS(K101=4,1,K101=3,2,K101=2,3,K101=1,4,K100&lt;$D$100,"Too Fast",K100="DQ","DQ")</f>
        <v>4</v>
      </c>
      <c r="M101" s="31" t="b">
        <v>1</v>
      </c>
    </row>
    <row r="102" spans="1:13" x14ac:dyDescent="0.3">
      <c r="A102" s="5">
        <v>47</v>
      </c>
      <c r="B102" s="10" t="s">
        <v>80</v>
      </c>
      <c r="C102" s="2" t="s">
        <v>35</v>
      </c>
      <c r="D102" s="16">
        <v>4.236111111111111E-4</v>
      </c>
      <c r="E102" s="41">
        <v>4.5694444444444439E-4</v>
      </c>
      <c r="F102" s="42"/>
      <c r="G102" s="41">
        <v>4.8854166666666664E-4</v>
      </c>
      <c r="H102" s="42"/>
      <c r="I102" s="41">
        <v>4.8553240740740745E-4</v>
      </c>
      <c r="J102" s="42"/>
      <c r="K102" s="41">
        <v>5.3842592592592592E-4</v>
      </c>
      <c r="L102" s="43"/>
      <c r="M102" s="28"/>
    </row>
    <row r="103" spans="1:13" x14ac:dyDescent="0.3">
      <c r="A103" s="7"/>
      <c r="B103" s="8"/>
      <c r="C103" s="4" t="s">
        <v>15</v>
      </c>
      <c r="D103" s="16"/>
      <c r="E103" s="9">
        <f>IF(E102="DQ",0,IF(E102&lt;$D$102,0,1+COUNTIFS($E$102:$K$102,"DQ")+COUNTIFS($E$102:$K$102,"&lt;"&amp;$D$102)+COUNTIF($E$102:$K$102,"&gt;"&amp;E102)))</f>
        <v>4</v>
      </c>
      <c r="F103" s="14" cm="1">
        <f t="array" ref="F103">_xlfn.IFS(E103=4,1,E103=3,2,E103=2,3,E103=1,4,E102&lt;$D$102,"Too Fast",E102="DQ","DQ")</f>
        <v>1</v>
      </c>
      <c r="G103" s="9">
        <f>IF(G102="DQ",0,IF(G102&lt;$D$102,0,1+COUNTIFS($E$102:$K$102,"DQ")+COUNTIFS($E$102:$K$102,"&lt;"&amp;$D$102)+COUNTIF($E$102:$K$102,"&gt;"&amp;G102)))</f>
        <v>2</v>
      </c>
      <c r="H103" s="14" cm="1">
        <f t="array" ref="H103">_xlfn.IFS(G103=4,1,G103=3,2,G103=2,3,G103=1,4,G102&lt;$D$102,"Too Fast",G102="DQ","DQ")</f>
        <v>3</v>
      </c>
      <c r="I103" s="9">
        <f>IF(I102="DQ",0,IF(I102&lt;$D$102,0,1+COUNTIFS($E$102:$K$102,"DQ")+COUNTIFS($E$102:$K$102,"&lt;"&amp;$D$102)+COUNTIF($E$102:$K$102,"&gt;"&amp;I102)))</f>
        <v>3</v>
      </c>
      <c r="J103" s="14" cm="1">
        <f t="array" ref="J103">_xlfn.IFS(I103=4,1,I103=3,2,I103=2,3,I103=1,4,I102&lt;$D$102,"Too Fast",I102="DQ","DQ")</f>
        <v>2</v>
      </c>
      <c r="K103" s="9">
        <f>IF(K102="DQ",0,IF(K102&lt;$D$102,0,1+COUNTIFS($E$102:$K$102,"DQ")+COUNTIFS($E$102:$K$102,"&lt;"&amp;$D$102)+COUNTIF($E$102:$K$102,"&gt;"&amp;K102)))</f>
        <v>1</v>
      </c>
      <c r="L103" s="25" cm="1">
        <f t="array" ref="L103">_xlfn.IFS(K103=4,1,K103=3,2,K103=2,3,K103=1,4,K102&lt;$D$102,"Too Fast",K102="DQ","DQ")</f>
        <v>4</v>
      </c>
      <c r="M103" s="31" t="b">
        <v>1</v>
      </c>
    </row>
    <row r="104" spans="1:13" x14ac:dyDescent="0.3">
      <c r="A104" s="5">
        <v>48</v>
      </c>
      <c r="B104" s="10" t="s">
        <v>81</v>
      </c>
      <c r="C104" s="2" t="s">
        <v>35</v>
      </c>
      <c r="D104" s="16">
        <v>4.1666666666666669E-4</v>
      </c>
      <c r="E104" s="41">
        <v>6.2337962962962965E-4</v>
      </c>
      <c r="F104" s="42"/>
      <c r="G104" s="41">
        <v>4.9976851851851853E-4</v>
      </c>
      <c r="H104" s="42"/>
      <c r="I104" s="41">
        <v>4.7928240740740738E-4</v>
      </c>
      <c r="J104" s="42"/>
      <c r="K104" s="41">
        <v>5.8263888888888894E-4</v>
      </c>
      <c r="L104" s="43"/>
      <c r="M104" s="28"/>
    </row>
    <row r="105" spans="1:13" x14ac:dyDescent="0.3">
      <c r="A105" s="7"/>
      <c r="B105" s="8"/>
      <c r="C105" s="4" t="s">
        <v>15</v>
      </c>
      <c r="D105" s="16"/>
      <c r="E105" s="9">
        <f>IF(E104="DQ",0,IF(E104&lt;$D$104,0,1+COUNTIFS($E$104:$K$104,"DQ")+COUNTIFS($E$104:$K$104,"&lt;"&amp;$D$104)+COUNTIF($E$104:$K$104,"&gt;"&amp;E104)))</f>
        <v>1</v>
      </c>
      <c r="F105" s="14" cm="1">
        <f t="array" ref="F105">_xlfn.IFS(E105=4,1,E105=3,2,E105=2,3,E105=1,4,E104&lt;$D$104,"Too Fast",E104="DQ","DQ")</f>
        <v>4</v>
      </c>
      <c r="G105" s="9">
        <f>IF(G104="DQ",0,IF(G104&lt;$D$104,0,1+COUNTIFS($E$104:$K$104,"DQ")+COUNTIFS($E$104:$K$104,"&lt;"&amp;$D$104)+COUNTIF($E$104:$K$104,"&gt;"&amp;G104)))</f>
        <v>3</v>
      </c>
      <c r="H105" s="14" cm="1">
        <f t="array" ref="H105">_xlfn.IFS(G105=4,1,G105=3,2,G105=2,3,G105=1,4,G104&lt;$D$104,"Too Fast",G104="DQ","DQ")</f>
        <v>2</v>
      </c>
      <c r="I105" s="9">
        <f>IF(I104="DQ",0,IF(I104&lt;$D$104,0,1+COUNTIFS($E$104:$K$104,"DQ")+COUNTIFS($E$104:$K$104,"&lt;"&amp;$D$104)+COUNTIF($E$104:$K$104,"&gt;"&amp;I104)))</f>
        <v>4</v>
      </c>
      <c r="J105" s="14" cm="1">
        <f t="array" ref="J105">_xlfn.IFS(I105=4,1,I105=3,2,I105=2,3,I105=1,4,I104&lt;$D$104,"Too Fast",I104="DQ","DQ")</f>
        <v>1</v>
      </c>
      <c r="K105" s="9">
        <f>IF(K104="DQ",0,IF(K104&lt;$D$104,0,1+COUNTIFS($E$104:$K$104,"DQ")+COUNTIFS($E$104:$K$104,"&lt;"&amp;$D$104)+COUNTIF($E$104:$K$104,"&gt;"&amp;K104)))</f>
        <v>2</v>
      </c>
      <c r="L105" s="25" cm="1">
        <f t="array" ref="L105">_xlfn.IFS(K105=4,1,K105=3,2,K105=2,3,K105=1,4,K104&lt;$D$104,"Too Fast",K104="DQ","DQ")</f>
        <v>3</v>
      </c>
      <c r="M105" s="31" t="b">
        <v>1</v>
      </c>
    </row>
    <row r="106" spans="1:13" x14ac:dyDescent="0.3">
      <c r="A106" s="5">
        <v>49</v>
      </c>
      <c r="B106" s="10" t="s">
        <v>82</v>
      </c>
      <c r="C106" s="2" t="s">
        <v>56</v>
      </c>
      <c r="D106" s="16">
        <v>1.3750000000000001E-3</v>
      </c>
      <c r="E106" s="41">
        <v>1.507986111111111E-3</v>
      </c>
      <c r="F106" s="42"/>
      <c r="G106" s="41">
        <v>1.5078703703703704E-3</v>
      </c>
      <c r="H106" s="42"/>
      <c r="I106" s="41">
        <v>1.4174768518518518E-3</v>
      </c>
      <c r="J106" s="42"/>
      <c r="K106" s="41">
        <v>1.8425925925925925E-3</v>
      </c>
      <c r="L106" s="43"/>
      <c r="M106" s="28"/>
    </row>
    <row r="107" spans="1:13" x14ac:dyDescent="0.3">
      <c r="A107" s="8"/>
      <c r="B107" s="8"/>
      <c r="C107" s="4" t="s">
        <v>15</v>
      </c>
      <c r="D107" s="16"/>
      <c r="E107" s="9">
        <f>IF(E106="DQ",0,IF(E106&lt;$D$106,0,1+COUNTIFS($E$106:$K$106,"DQ")+COUNTIFS($E$106:$K$106,"&lt;"&amp;$D$106)+COUNTIF($E$106:$K$106,"&gt;"&amp;E106)))</f>
        <v>2</v>
      </c>
      <c r="F107" s="14" cm="1">
        <f t="array" ref="F107">_xlfn.IFS(E107=4,1,E107=3,2,E107=2,3,E107=1,4,E106&lt;$D$106,"Too Fast",E106="DQ","DQ")</f>
        <v>3</v>
      </c>
      <c r="G107" s="9">
        <f>IF(G106="DQ",0,IF(G106&lt;$D$106,0,1+COUNTIFS($E$106:$K$106,"DQ")+COUNTIFS($E$106:$K$106,"&lt;"&amp;$D$106)+COUNTIF($E$106:$K$106,"&gt;"&amp;G106)))</f>
        <v>3</v>
      </c>
      <c r="H107" s="14" cm="1">
        <f t="array" ref="H107">_xlfn.IFS(G107=4,1,G107=3,2,G107=2,3,G107=1,4,G106&lt;$D$106,"Too Fast",G106="DQ","DQ")</f>
        <v>2</v>
      </c>
      <c r="I107" s="9">
        <f>IF(I106="DQ",0,IF(I106&lt;$D$106,0,1+COUNTIFS($E$106:$K$106,"DQ")+COUNTIFS($E$106:$K$106,"&lt;"&amp;$D$106)+COUNTIF($E$106:$K$106,"&gt;"&amp;I106)))</f>
        <v>4</v>
      </c>
      <c r="J107" s="14" cm="1">
        <f t="array" ref="J107">_xlfn.IFS(I107=4,1,I107=3,2,I107=2,3,I107=1,4,I106&lt;$D$106,"Too Fast",I106="DQ","DQ")</f>
        <v>1</v>
      </c>
      <c r="K107" s="9">
        <f>IF(K106="DQ",0,IF(K106&lt;$D$106,0,1+COUNTIFS($E$106:$K$106,"DQ")+COUNTIFS($E$106:$K$106,"&lt;"&amp;$D$106)+COUNTIF($E$106:$K$106,"&gt;"&amp;K106)))</f>
        <v>1</v>
      </c>
      <c r="L107" s="25" cm="1">
        <f t="array" ref="L107">_xlfn.IFS(K107=4,1,K107=3,2,K107=2,3,K107=1,4,K106&lt;$D$106,"Too Fast",K106="DQ","DQ")</f>
        <v>4</v>
      </c>
      <c r="M107" s="31" t="b">
        <v>1</v>
      </c>
    </row>
    <row r="108" spans="1:13" x14ac:dyDescent="0.3">
      <c r="A108" s="5">
        <v>50</v>
      </c>
      <c r="B108" s="10" t="s">
        <v>83</v>
      </c>
      <c r="C108" s="2" t="s">
        <v>56</v>
      </c>
      <c r="D108" s="16">
        <v>1.2638888888888888E-3</v>
      </c>
      <c r="E108" s="41">
        <v>1.5548611111111112E-3</v>
      </c>
      <c r="F108" s="42"/>
      <c r="G108" s="41">
        <v>1.4844907407407406E-3</v>
      </c>
      <c r="H108" s="42"/>
      <c r="I108" s="41">
        <v>1.3696759259259259E-3</v>
      </c>
      <c r="J108" s="42"/>
      <c r="K108" s="41">
        <v>1.921412037037037E-3</v>
      </c>
      <c r="L108" s="43"/>
      <c r="M108" s="28"/>
    </row>
    <row r="109" spans="1:13" x14ac:dyDescent="0.3">
      <c r="A109" s="7"/>
      <c r="B109" s="8"/>
      <c r="C109" s="4" t="s">
        <v>15</v>
      </c>
      <c r="D109" s="16"/>
      <c r="E109" s="9">
        <f>IF(E108="DQ",0,IF(E108&lt;$D$108,0,1+COUNTIFS($E$108:$K$108,"DQ")+COUNTIFS($E$108:$K$108,"&lt;"&amp;$D$108)+COUNTIF($E$108:$K$108,"&gt;"&amp;E108)))</f>
        <v>2</v>
      </c>
      <c r="F109" s="14" cm="1">
        <f t="array" ref="F109">_xlfn.IFS(E109=4,1,E109=3,2,E109=2,3,E109=1,4,E108&lt;$D$108,"Too Fast",E108="DQ","DQ")</f>
        <v>3</v>
      </c>
      <c r="G109" s="9">
        <f>IF(G108="DQ",0,IF(G108&lt;$D$108,0,1+COUNTIFS($E$108:$K$108,"DQ")+COUNTIFS($E$108:$K$108,"&lt;"&amp;$D$108)+COUNTIF($E$108:$K$108,"&gt;"&amp;G108)))</f>
        <v>3</v>
      </c>
      <c r="H109" s="14" cm="1">
        <f t="array" ref="H109">_xlfn.IFS(G109=4,1,G109=3,2,G109=2,3,G109=1,4,G108&lt;$D$108,"Too Fast",G108="DQ","DQ")</f>
        <v>2</v>
      </c>
      <c r="I109" s="9">
        <f>IF(I108="DQ",0,IF(I108&lt;$D$108,0,1+COUNTIFS($E$108:$K$108,"DQ")+COUNTIFS($E$108:$K$108,"&lt;"&amp;$D$108)+COUNTIF($E$108:$K$108,"&gt;"&amp;I108)))</f>
        <v>4</v>
      </c>
      <c r="J109" s="14" cm="1">
        <f t="array" ref="J109">_xlfn.IFS(I109=4,1,I109=3,2,I109=2,3,I109=1,4,I108&lt;$D$108,"Too Fast",I108="DQ","DQ")</f>
        <v>1</v>
      </c>
      <c r="K109" s="9">
        <f>IF(K108="DQ",0,IF(K108&lt;$D$108,0,1+COUNTIFS($E$108:$K$108,"DQ")+COUNTIFS($E$108:$K$108,"&lt;"&amp;$D$108)+COUNTIF($E$108:$K$108,"&gt;"&amp;K108)))</f>
        <v>1</v>
      </c>
      <c r="L109" s="25" cm="1">
        <f t="array" ref="L109">_xlfn.IFS(K109=4,1,K109=3,2,K109=2,3,K109=1,4,K108&lt;$D$108,"Too Fast",K108="DQ","DQ")</f>
        <v>4</v>
      </c>
      <c r="M109" s="31" t="b">
        <v>1</v>
      </c>
    </row>
    <row r="110" spans="1:13" x14ac:dyDescent="0.3">
      <c r="A110" s="5">
        <v>51</v>
      </c>
      <c r="B110" s="10" t="s">
        <v>84</v>
      </c>
      <c r="C110" s="2" t="s">
        <v>56</v>
      </c>
      <c r="D110" s="16">
        <v>1.3565972222222224E-3</v>
      </c>
      <c r="E110" s="41">
        <v>1.5159722222222222E-3</v>
      </c>
      <c r="F110" s="42"/>
      <c r="G110" s="41">
        <v>1.4893518518518519E-3</v>
      </c>
      <c r="H110" s="42"/>
      <c r="I110" s="41">
        <v>1.4864583333333333E-3</v>
      </c>
      <c r="J110" s="42"/>
      <c r="K110" s="41">
        <v>1.5047453703703703E-3</v>
      </c>
      <c r="L110" s="43"/>
      <c r="M110" s="28"/>
    </row>
    <row r="111" spans="1:13" x14ac:dyDescent="0.3">
      <c r="A111" s="7"/>
      <c r="B111" s="8"/>
      <c r="C111" s="4" t="s">
        <v>15</v>
      </c>
      <c r="D111" s="16"/>
      <c r="E111" s="9">
        <f>IF(E110="DQ",0,IF(E110&lt;$D$110,0,1+COUNTIFS($E$110:$K$110,"DQ")+COUNTIFS($E$110:$K$110,"&lt;"&amp;$D$110)+COUNTIF($E$110:$K$110,"&gt;"&amp;E110)))</f>
        <v>1</v>
      </c>
      <c r="F111" s="14" cm="1">
        <f t="array" ref="F111">_xlfn.IFS(E111=4,1,E111=3,2,E111=2,3,E111=1,4,E110&lt;$D$110,"Too Fast",E110="DQ","DQ")</f>
        <v>4</v>
      </c>
      <c r="G111" s="9">
        <f>IF(G110="DQ",0,IF(G110&lt;$D$110,0,1+COUNTIFS($E$110:$K$110,"DQ")+COUNTIFS($E$110:$K$110,"&lt;"&amp;$D$110)+COUNTIF($E$110:$K$110,"&gt;"&amp;G110)))</f>
        <v>3</v>
      </c>
      <c r="H111" s="14" cm="1">
        <f t="array" ref="H111">_xlfn.IFS(G111=4,1,G111=3,2,G111=2,3,G111=1,4,G110&lt;$D$110,"Too Fast",G110="DQ","DQ")</f>
        <v>2</v>
      </c>
      <c r="I111" s="9">
        <f>IF(I110="DQ",0,IF(I110&lt;$D$110,0,1+COUNTIFS($E$110:$K$110,"DQ")+COUNTIFS($E$110:$K$110,"&lt;"&amp;$D$110)+COUNTIF($E$110:$K$110,"&gt;"&amp;I110)))</f>
        <v>4</v>
      </c>
      <c r="J111" s="14" cm="1">
        <f t="array" ref="J111">_xlfn.IFS(I111=4,1,I111=3,2,I111=2,3,I111=1,4,I110&lt;$D$110,"Too Fast",I110="DQ","DQ")</f>
        <v>1</v>
      </c>
      <c r="K111" s="9">
        <f>IF(K110="DQ",0,IF(K110&lt;$D$110,0,1+COUNTIFS($E$110:$K$110,"DQ")+COUNTIFS($E$110:$K$110,"&lt;"&amp;$D$110)+COUNTIF($E$110:$K$110,"&gt;"&amp;K110)))</f>
        <v>2</v>
      </c>
      <c r="L111" s="25" cm="1">
        <f t="array" ref="L111">_xlfn.IFS(K111=4,1,K111=3,2,K111=2,3,K111=1,4,K110&lt;$D$110,"Too Fast",K110="DQ","DQ")</f>
        <v>3</v>
      </c>
      <c r="M111" s="31" t="b">
        <v>1</v>
      </c>
    </row>
    <row r="112" spans="1:13" x14ac:dyDescent="0.3">
      <c r="A112" s="5">
        <v>52</v>
      </c>
      <c r="B112" s="10" t="s">
        <v>85</v>
      </c>
      <c r="C112" s="2" t="s">
        <v>56</v>
      </c>
      <c r="D112" s="16">
        <v>1.2381944444444443E-3</v>
      </c>
      <c r="E112" s="41">
        <v>1.2872685185185185E-3</v>
      </c>
      <c r="F112" s="42"/>
      <c r="G112" s="41">
        <v>1.3128472222222222E-3</v>
      </c>
      <c r="H112" s="42"/>
      <c r="I112" s="41">
        <v>1.3167824074074076E-3</v>
      </c>
      <c r="J112" s="42"/>
      <c r="K112" s="41">
        <v>1.3853009259259259E-3</v>
      </c>
      <c r="L112" s="43"/>
      <c r="M112" s="28"/>
    </row>
    <row r="113" spans="1:13" x14ac:dyDescent="0.3">
      <c r="A113" s="7"/>
      <c r="B113" s="8"/>
      <c r="C113" s="4" t="s">
        <v>15</v>
      </c>
      <c r="D113" s="16"/>
      <c r="E113" s="9">
        <f>IF(E112="DQ",0,IF(E112&lt;$D$112,0,1+COUNTIFS($E$112:$K$112,"DQ")+COUNTIFS($E$112:$K$112,"&lt;"&amp;$D$112)+COUNTIF($E$112:$K$112,"&gt;"&amp;E112)))</f>
        <v>4</v>
      </c>
      <c r="F113" s="14" cm="1">
        <f t="array" ref="F113">_xlfn.IFS(E113=4,1,E113=3,2,E113=2,3,E113=1,4,E112&lt;$D$112,"Too Fast",E112="DQ","DQ")</f>
        <v>1</v>
      </c>
      <c r="G113" s="9">
        <f>IF(G112="DQ",0,IF(G112&lt;$D$112,0,1+COUNTIFS($E$112:$K$112,"DQ")+COUNTIFS($E$112:$K$112,"&lt;"&amp;$D$112)+COUNTIF($E$112:$K$112,"&gt;"&amp;G112)))</f>
        <v>3</v>
      </c>
      <c r="H113" s="14" cm="1">
        <f t="array" ref="H113">_xlfn.IFS(G113=4,1,G113=3,2,G113=2,3,G113=1,4,G112&lt;$D$112,"Too Fast",G112="DQ","DQ")</f>
        <v>2</v>
      </c>
      <c r="I113" s="9">
        <f>IF(I112="DQ",0,IF(I112&lt;$D$112,0,1+COUNTIFS($E$112:$K$112,"DQ")+COUNTIFS($E$112:$K$112,"&lt;"&amp;$D$112)+COUNTIF($E$112:$K$112,"&gt;"&amp;I112)))</f>
        <v>2</v>
      </c>
      <c r="J113" s="14" cm="1">
        <f t="array" ref="J113">_xlfn.IFS(I113=4,1,I113=3,2,I113=2,3,I113=1,4,I112&lt;$D$112,"Too Fast",I112="DQ","DQ")</f>
        <v>3</v>
      </c>
      <c r="K113" s="9">
        <f>IF(K112="DQ",0,IF(K112&lt;$D$112,0,1+COUNTIFS($E$112:$K$112,"DQ")+COUNTIFS($E$112:$K$112,"&lt;"&amp;$D$112)+COUNTIF($E$112:$K$112,"&gt;"&amp;K112)))</f>
        <v>1</v>
      </c>
      <c r="L113" s="25" cm="1">
        <f t="array" ref="L113">_xlfn.IFS(K113=4,1,K113=3,2,K113=2,3,K113=1,4,K112&lt;$D$112,"Too Fast",K112="DQ","DQ")</f>
        <v>4</v>
      </c>
      <c r="M113" s="31" t="b">
        <v>1</v>
      </c>
    </row>
    <row r="114" spans="1:13" x14ac:dyDescent="0.3">
      <c r="A114" s="5">
        <v>53</v>
      </c>
      <c r="B114" s="10" t="s">
        <v>86</v>
      </c>
      <c r="C114" s="2" t="s">
        <v>56</v>
      </c>
      <c r="D114" s="16">
        <v>6.8287037037037025E-4</v>
      </c>
      <c r="E114" s="41">
        <v>1.3928240740740741E-3</v>
      </c>
      <c r="F114" s="42"/>
      <c r="G114" s="41">
        <v>1.3560185185185186E-3</v>
      </c>
      <c r="H114" s="42"/>
      <c r="I114" s="41">
        <v>1.3766203703703703E-3</v>
      </c>
      <c r="J114" s="42"/>
      <c r="K114" s="41">
        <v>1.5913194444444445E-3</v>
      </c>
      <c r="L114" s="43"/>
      <c r="M114" s="28"/>
    </row>
    <row r="115" spans="1:13" x14ac:dyDescent="0.3">
      <c r="A115" s="8"/>
      <c r="B115" s="8"/>
      <c r="C115" s="4" t="s">
        <v>15</v>
      </c>
      <c r="D115" s="16"/>
      <c r="E115" s="9">
        <f>IF(E114="DQ",0,IF(E114&lt;$D$114,0,1+COUNTIFS($E$114:$K$114,"DQ")+COUNTIFS($E$114:$K$114,"&lt;"&amp;$D$114)+COUNTIF($E$114:$K$114,"&gt;"&amp;E114)))</f>
        <v>2</v>
      </c>
      <c r="F115" s="14" cm="1">
        <f t="array" ref="F115">_xlfn.IFS(E115=4,1,E115=3,2,E115=2,3,E115=1,4,E114&lt;$D$114,"Too Fast",E114="DQ","DQ")</f>
        <v>3</v>
      </c>
      <c r="G115" s="9">
        <f>IF(G114="DQ",0,IF(G114&lt;$D$114,0,1+COUNTIFS($E$114:$K$114,"DQ")+COUNTIFS($E$114:$K$114,"&lt;"&amp;$D$114)+COUNTIF($E$114:$K$114,"&gt;"&amp;G114)))</f>
        <v>4</v>
      </c>
      <c r="H115" s="14" cm="1">
        <f t="array" ref="H115">_xlfn.IFS(G115=4,1,G115=3,2,G115=2,3,G115=1,4,G114&lt;$D$114,"Too Fast",G114="DQ","DQ")</f>
        <v>1</v>
      </c>
      <c r="I115" s="9">
        <f>IF(I114="DQ",0,IF(I114&lt;$D$114,0,1+COUNTIFS($E$114:$K$114,"DQ")+COUNTIFS($E$114:$K$114,"&lt;"&amp;$D$114)+COUNTIF($E$114:$K$114,"&gt;"&amp;I114)))</f>
        <v>3</v>
      </c>
      <c r="J115" s="14" cm="1">
        <f t="array" ref="J115">_xlfn.IFS(I115=4,1,I115=3,2,I115=2,3,I115=1,4,I114&lt;$D$114,"Too Fast",I114="DQ","DQ")</f>
        <v>2</v>
      </c>
      <c r="K115" s="9">
        <f>IF(K114="DQ",0,IF(K114&lt;$D$114,0,1+COUNTIFS($E$114:$K$114,"DQ")+COUNTIFS($E$114:$K$114,"&lt;"&amp;$D$114)+COUNTIF($E$114:$K$114,"&gt;"&amp;K114)))</f>
        <v>1</v>
      </c>
      <c r="L115" s="25" cm="1">
        <f t="array" ref="L115">_xlfn.IFS(K115=4,1,K115=3,2,K115=2,3,K115=1,4,K114&lt;$D$114,"Too Fast",K114="DQ","DQ")</f>
        <v>4</v>
      </c>
      <c r="M115" s="31" t="b">
        <v>1</v>
      </c>
    </row>
    <row r="116" spans="1:13" x14ac:dyDescent="0.3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136</v>
      </c>
      <c r="F116" s="40"/>
      <c r="G116" s="19">
        <f t="shared" ref="G116:K116" si="34">G89+G91+G93+G95+G97+G99+G101+G103+G105+G107+G109+G111+G113+G115</f>
        <v>164</v>
      </c>
      <c r="H116" s="40"/>
      <c r="I116" s="19">
        <f t="shared" si="34"/>
        <v>154</v>
      </c>
      <c r="J116" s="40"/>
      <c r="K116" s="19">
        <f t="shared" si="34"/>
        <v>72</v>
      </c>
      <c r="L116" s="39"/>
      <c r="M116" s="28"/>
    </row>
  </sheetData>
  <mergeCells count="228"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114">
    <cfRule type="containsText" dxfId="42" priority="3" operator="containsText" text="dns">
      <formula>NOT(ISERROR(SEARCH("dns",E6)))</formula>
    </cfRule>
    <cfRule type="containsText" dxfId="41" priority="4" operator="containsText" text="02;">
      <formula>NOT(ISERROR(SEARCH("02;",E6)))</formula>
    </cfRule>
    <cfRule type="containsText" dxfId="40" priority="5" operator="containsText" text="01;">
      <formula>NOT(ISERROR(SEARCH("01;",E6)))</formula>
    </cfRule>
    <cfRule type="containsText" dxfId="39" priority="6" operator="containsText" text="00;">
      <formula>NOT(ISERROR(SEARCH("00;",E6)))</formula>
    </cfRule>
    <cfRule type="containsText" dxfId="38" priority="11" operator="containsText" text="02.">
      <formula>NOT(ISERROR(SEARCH("02.",E6)))</formula>
    </cfRule>
    <cfRule type="containsText" dxfId="37" priority="12" operator="containsText" text="01.">
      <formula>NOT(ISERROR(SEARCH("01.",E6)))</formula>
    </cfRule>
    <cfRule type="containsText" dxfId="36" priority="13" operator="containsText" text="00.">
      <formula>NOT(ISERROR(SEARCH("00.",E6)))</formula>
    </cfRule>
  </conditionalFormatting>
  <conditionalFormatting sqref="M1:M1048576">
    <cfRule type="containsText" dxfId="35" priority="1" operator="containsText" text="TRUE">
      <formula>NOT(ISERROR(SEARCH("TRUE",M1)))</formula>
    </cfRule>
    <cfRule type="containsText" dxfId="34" priority="2" operator="containsText" text="FALSE">
      <formula>NOT(ISERROR(SEARCH("FALSE",M1)))</formula>
    </cfRule>
  </conditionalFormatting>
  <hyperlinks>
    <hyperlink ref="E71" r:id="rId1" display="00@45.13" xr:uid="{703BBDB0-A9E4-4AC7-A98C-F57CBC952C62}"/>
    <hyperlink ref="E98" r:id="rId2" display="00@25.33" xr:uid="{987D6930-79D3-47B2-B2A5-46E247D751D8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H116"/>
  <sheetViews>
    <sheetView zoomScale="70" workbookViewId="0">
      <selection activeCell="Q6" sqref="Q6"/>
    </sheetView>
  </sheetViews>
  <sheetFormatPr defaultColWidth="9" defaultRowHeight="14.4" x14ac:dyDescent="0.3"/>
  <cols>
    <col min="1" max="1" width="9.6640625" bestFit="1" customWidth="1"/>
    <col min="2" max="2" width="28" bestFit="1" customWidth="1"/>
    <col min="3" max="3" width="13.109375" bestFit="1" customWidth="1"/>
    <col min="4" max="4" width="12.44140625" bestFit="1" customWidth="1"/>
    <col min="5" max="16" width="10.33203125" customWidth="1"/>
    <col min="17" max="17" width="20.88671875" bestFit="1" customWidth="1"/>
    <col min="18" max="18" width="3.44140625" customWidth="1"/>
    <col min="19" max="19" width="6.109375" bestFit="1" customWidth="1"/>
    <col min="20" max="20" width="15.88671875" bestFit="1" customWidth="1"/>
    <col min="21" max="21" width="8.5546875" bestFit="1" customWidth="1"/>
    <col min="22" max="22" width="9.33203125" bestFit="1" customWidth="1"/>
    <col min="23" max="26" width="9" bestFit="1" customWidth="1"/>
    <col min="27" max="27" width="4.33203125" bestFit="1" customWidth="1"/>
    <col min="28" max="28" width="7.88671875" bestFit="1" customWidth="1"/>
    <col min="29" max="29" width="11.6640625" customWidth="1"/>
    <col min="30" max="33" width="12.44140625" bestFit="1" customWidth="1"/>
    <col min="34" max="34" width="16.33203125" bestFit="1" customWidth="1"/>
  </cols>
  <sheetData>
    <row r="1" spans="1:34" ht="18" x14ac:dyDescent="0.35">
      <c r="A1" s="50" t="s">
        <v>88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4" x14ac:dyDescent="0.3">
      <c r="S2" s="47" t="s">
        <v>14</v>
      </c>
      <c r="T2" s="51"/>
      <c r="U2" s="51"/>
      <c r="V2" s="51"/>
      <c r="W2" s="51"/>
      <c r="X2" s="51"/>
      <c r="Y2" s="51"/>
      <c r="Z2" s="51"/>
      <c r="AA2" s="2"/>
      <c r="AB2" s="2"/>
      <c r="AC2" s="18"/>
      <c r="AD2" s="18"/>
      <c r="AE2" s="18"/>
      <c r="AF2" s="18"/>
      <c r="AG2" s="18"/>
      <c r="AH2" s="18"/>
    </row>
    <row r="3" spans="1:34" x14ac:dyDescent="0.3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4</v>
      </c>
      <c r="L3" s="49"/>
      <c r="M3" s="49" t="s">
        <v>89</v>
      </c>
      <c r="N3" s="49"/>
      <c r="O3" s="49" t="s">
        <v>90</v>
      </c>
      <c r="P3" s="49"/>
      <c r="S3" s="8"/>
      <c r="T3" s="8"/>
      <c r="U3" s="17" t="s">
        <v>16</v>
      </c>
      <c r="V3" s="17" t="s">
        <v>17</v>
      </c>
      <c r="W3" s="17" t="s">
        <v>18</v>
      </c>
      <c r="X3" s="17" t="s">
        <v>19</v>
      </c>
      <c r="Y3" s="17" t="s">
        <v>91</v>
      </c>
      <c r="Z3" s="21" t="s">
        <v>92</v>
      </c>
      <c r="AA3" s="40" t="s">
        <v>20</v>
      </c>
      <c r="AB3" s="40" t="s">
        <v>21</v>
      </c>
      <c r="AC3" s="17" t="s">
        <v>22</v>
      </c>
      <c r="AD3" s="17" t="s">
        <v>23</v>
      </c>
      <c r="AE3" s="17" t="s">
        <v>24</v>
      </c>
      <c r="AF3" s="17" t="s">
        <v>25</v>
      </c>
      <c r="AG3" s="17" t="s">
        <v>26</v>
      </c>
      <c r="AH3" s="17" t="s">
        <v>27</v>
      </c>
    </row>
    <row r="4" spans="1:34" x14ac:dyDescent="0.3">
      <c r="A4" s="53"/>
      <c r="B4" s="53"/>
      <c r="C4" s="53"/>
      <c r="D4" s="53"/>
      <c r="E4" s="45" t="s">
        <v>5</v>
      </c>
      <c r="F4" s="46"/>
      <c r="G4" s="45" t="s">
        <v>5</v>
      </c>
      <c r="H4" s="46"/>
      <c r="I4" s="45" t="s">
        <v>5</v>
      </c>
      <c r="J4" s="46"/>
      <c r="K4" s="45" t="s">
        <v>5</v>
      </c>
      <c r="L4" s="46"/>
      <c r="M4" s="45" t="s">
        <v>5</v>
      </c>
      <c r="N4" s="46"/>
      <c r="O4" s="45" t="s">
        <v>5</v>
      </c>
      <c r="P4" s="46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37">
        <f>E116</f>
        <v>0</v>
      </c>
      <c r="AD4" s="37">
        <f>($E$26&gt;E26)+($G$26&gt;E26)+($I$26&gt;E26)+($K$26&gt;E26)+($M$26&gt;E26)+($O$26&gt;E26)+1</f>
        <v>1</v>
      </c>
      <c r="AE4" s="37">
        <f>($E$47&gt;E47)+($G$47&gt;E47)+($I$47&gt;E47)+($K$47&gt;E47)+($M$47&gt;E47)+($O$47&gt;E47)+1</f>
        <v>1</v>
      </c>
      <c r="AF4" s="37">
        <f>($E$68&gt;E68)+($G$68&gt;E68)+($I$68&gt;E68)+($K$68&gt;E68)+($M$68&gt;E68)+($O$68&gt;E68)+1</f>
        <v>1</v>
      </c>
      <c r="AG4" s="37">
        <f>($E$89&gt;E89)+($G$89&gt;E89)+($I$89&gt;E89)+($K$89&gt;E89)+($M$89&gt;E89)+($O$89&gt;E89)+1</f>
        <v>1</v>
      </c>
      <c r="AH4" s="37">
        <f>($E$116&gt;E116)+($G$116&gt;E116)+($I$116&gt;E116)+($K$116&gt;E116)+($M$116&gt;E116)+($O$116&gt;E116)+1</f>
        <v>1</v>
      </c>
    </row>
    <row r="5" spans="1:34" x14ac:dyDescent="0.3">
      <c r="A5" s="1" t="s">
        <v>6</v>
      </c>
      <c r="B5" s="1" t="s">
        <v>7</v>
      </c>
      <c r="C5" s="1" t="s">
        <v>8</v>
      </c>
      <c r="D5" s="1" t="s">
        <v>9</v>
      </c>
      <c r="E5" s="47" t="s">
        <v>10</v>
      </c>
      <c r="F5" s="48"/>
      <c r="G5" s="47" t="s">
        <v>10</v>
      </c>
      <c r="H5" s="48"/>
      <c r="I5" s="47" t="s">
        <v>10</v>
      </c>
      <c r="J5" s="48"/>
      <c r="K5" s="49" t="s">
        <v>10</v>
      </c>
      <c r="L5" s="49"/>
      <c r="M5" s="49" t="s">
        <v>10</v>
      </c>
      <c r="N5" s="49"/>
      <c r="O5" s="49" t="s">
        <v>10</v>
      </c>
      <c r="P5" s="49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37">
        <f>G116</f>
        <v>0</v>
      </c>
      <c r="AD5" s="37">
        <f>($E$26&gt;G26)+($G$26&gt;G26)+($I$26&gt;G26)+($K$26&gt;G26)+($M$26&gt;G26)+($O$26&gt;G26)+1</f>
        <v>1</v>
      </c>
      <c r="AE5" s="37">
        <f>($E$47&gt;G47)+($G$47&gt;G47)+($I$47&gt;G47)+($K$47&gt;G47)+($M$47&gt;G47)+($O$47&gt;G47)+1</f>
        <v>1</v>
      </c>
      <c r="AF5" s="37">
        <f>($E$68&gt;G68)+($G$68&gt;G68)+($I$68&gt;G68)+($K$68&gt;G68)+($M$68&gt;G68)+($O$68&gt;G68)+1</f>
        <v>1</v>
      </c>
      <c r="AG5" s="37">
        <f>($E$89&gt;G89)+($G$89&gt;G89)+($I$89&gt;G89)+($K$89&gt;G89)+($M$89&gt;G89)+($O$89&gt;G89)+1</f>
        <v>1</v>
      </c>
      <c r="AH5" s="37">
        <f>($E$116&gt;G116)+($G$116&gt;G116)+($I$116&gt;G116)+($K$116&gt;G116)+($M$116&gt;G116)+($O$116&gt;G116)+1</f>
        <v>1</v>
      </c>
    </row>
    <row r="6" spans="1:34" x14ac:dyDescent="0.3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2"/>
      <c r="O6" s="41"/>
      <c r="P6" s="43"/>
      <c r="Q6" s="30" t="s">
        <v>13</v>
      </c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37">
        <f>I116</f>
        <v>0</v>
      </c>
      <c r="AD6" s="37">
        <f>($E$26&gt;I26)+($G$26&gt;I26)+($I$26&gt;I26)+($K$26&gt;I26)+($M$26&gt;I26)+($O$26&gt;I26)+1</f>
        <v>1</v>
      </c>
      <c r="AE6" s="37">
        <f>($E$47&gt;I47)+($G$47&gt;I47)+($I$47&gt;I47)+($K$47&gt;I47)+($M$47&gt;I47)+($O$47&gt;I47)+1</f>
        <v>1</v>
      </c>
      <c r="AF6" s="37">
        <f>($E$68&gt;I68)+($G$68&gt;I68)+($I$68&gt;I68)+($K$68&gt;I68)+($M$68&gt;I68)+($O$68&gt;I68)+1</f>
        <v>1</v>
      </c>
      <c r="AG6" s="37">
        <f>($E$89&gt;I89)+($G$89&gt;I89)+($I$89&gt;I89)+($K$89&gt;I89)+($M$89&gt;I89)+($O$89&gt;I89)+1</f>
        <v>1</v>
      </c>
      <c r="AH6" s="37">
        <f>($E$116&gt;I116)+($G$116&gt;I116)+($I$116&gt;I116)+($K$116&gt;I116)+($M$116&gt;I116)+($O$116&gt;I116)+1</f>
        <v>1</v>
      </c>
    </row>
    <row r="7" spans="1:34" x14ac:dyDescent="0.3">
      <c r="A7" s="7"/>
      <c r="B7" s="8"/>
      <c r="C7" s="4" t="s">
        <v>15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25" t="str" cm="1">
        <f t="array" ref="P7">_xlfn.IFS(O7=6,1,O7=5,2,O7=4,3,O7=3,4,O7=2,5,O7=1,6,O6&lt;$D$6,"Too Fast",O6="DQ","DQ")</f>
        <v>Too Fast</v>
      </c>
      <c r="Q7" s="31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37">
        <f>K116</f>
        <v>0</v>
      </c>
      <c r="AD7" s="37">
        <f>($E$26&gt;K26)+($G$26&gt;K26)+($I$26&gt;K26)+($K$26&gt;K26)+($M$26&gt;K26)+($O$26&gt;K26)+1</f>
        <v>1</v>
      </c>
      <c r="AE7" s="37">
        <f>($E$47&gt;K47)+($G$47&gt;K47)+($I$47&gt;K47)+($K$47&gt;K47)+($M$47&gt;K47)+($O$47&gt;K47)+1</f>
        <v>1</v>
      </c>
      <c r="AF7" s="37">
        <f>($E$68&gt;K68)+($G$68&gt;K68)+($I$68&gt;K68)+($K$68&gt;K68)+($M$68&gt;K68)+($O$68&gt;K68)+1</f>
        <v>1</v>
      </c>
      <c r="AG7" s="37">
        <f>($E$89&gt;K89)+($G$89&gt;K89)+($I$89&gt;K89)+($K$89&gt;K89)+($M$89&gt;K89)+($O$89&gt;K89)+1</f>
        <v>1</v>
      </c>
      <c r="AH7" s="37">
        <f>($E$116&gt;K116)+($G$116&gt;K116)+($I$116&gt;K116)+($K$116&gt;K116)+($M$116&gt;K116)+($O$116&gt;K116)+1</f>
        <v>1</v>
      </c>
    </row>
    <row r="8" spans="1:34" x14ac:dyDescent="0.3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3"/>
      <c r="Q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37">
        <f>M116</f>
        <v>0</v>
      </c>
      <c r="AD8" s="37">
        <f>($E$26&gt;M26)+($G$26&gt;M26)+($I$26&gt;M26)+($K$26&gt;M26)+($M$26&gt;M26)+($O$26&gt;M26)+1</f>
        <v>1</v>
      </c>
      <c r="AE8" s="37">
        <f>($E$47&gt;M47)+($G$47&gt;M47)+($I$47&gt;M47)+($K$47&gt;M47)+($M$47&gt;M47)+($O$47&gt;M47)+1</f>
        <v>1</v>
      </c>
      <c r="AF8" s="37">
        <f>($E$68&gt;M68)+($G$68&gt;M68)+($I$68&gt;M68)+($K$68&gt;M68)+($M$68&gt;M68)+($O$68&gt;M68)+1</f>
        <v>1</v>
      </c>
      <c r="AG8" s="37">
        <f>($E$89&gt;M89)+($G$89&gt;M89)+($I$89&gt;M89)+($K$89&gt;M89)+($M$89&gt;M89)+($O$89&gt;M89)+1</f>
        <v>1</v>
      </c>
      <c r="AH8" s="37">
        <f>($E$116&gt;M116)+($G$116&gt;M116)+($I$116&gt;M116)+($K$116&gt;M116)+($M$116&gt;M116)+($O$116&gt;M116)+1</f>
        <v>1</v>
      </c>
    </row>
    <row r="9" spans="1:34" x14ac:dyDescent="0.3">
      <c r="A9" s="7"/>
      <c r="B9" s="8"/>
      <c r="C9" s="4" t="s">
        <v>15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25" t="str" cm="1">
        <f t="array" ref="P9">_xlfn.IFS(O9=6,1,O9=5,2,O9=4,3,O9=3,4,O9=2,5,O9=1,6,O8&lt;$D$8,"Too Fast",O8="DQ","DQ")</f>
        <v>Too Fast</v>
      </c>
      <c r="Q9" s="31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37">
        <f>O116</f>
        <v>0</v>
      </c>
      <c r="AD9" s="37">
        <f>($E$26&gt;O26)+($G$26&gt;O26)+($I$26&gt;O26)+($K$26&gt;O26)+($M$26&gt;O26)+($O$26&gt;O26)+1</f>
        <v>1</v>
      </c>
      <c r="AE9" s="37">
        <f>($E$47&gt;O47)+($G$47&gt;O47)+($I$47&gt;O47)+($K$47&gt;O47)+($M$47&gt;O47)+($O$47&gt;O47)+1</f>
        <v>1</v>
      </c>
      <c r="AF9" s="37">
        <f>($E$68&gt;O68)+($G$68&gt;O68)+($I$68&gt;O68)+($K$68&gt;O68)+($M$68&gt;O68)+($O$68&gt;O68)+1</f>
        <v>1</v>
      </c>
      <c r="AG9" s="37">
        <f>($E$89&gt;O89)+($G$89&gt;O89)+($I$89&gt;O89)+($K$89&gt;O89)+($M$89&gt;O89)+($O$89&gt;O89)+1</f>
        <v>1</v>
      </c>
      <c r="AH9" s="37">
        <f>($E$116&gt;O116)+($G$116&gt;O116)+($I$116&gt;O116)+($K$116&gt;O116)+($M$116&gt;O116)+($O$116&gt;O116)+1</f>
        <v>1</v>
      </c>
    </row>
    <row r="10" spans="1:34" x14ac:dyDescent="0.3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1"/>
      <c r="Q10" s="28"/>
    </row>
    <row r="11" spans="1:34" x14ac:dyDescent="0.3">
      <c r="A11" s="7"/>
      <c r="B11" s="8"/>
      <c r="C11" s="4" t="s">
        <v>15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25" t="str" cm="1">
        <f t="array" ref="P11">_xlfn.IFS(O11=6,1,O11=5,2,O11=4,3,O11=3,4,O11=2,5,O11=1,6,O10&lt;$D$10,"Too Fast",O10="DQ","DQ")</f>
        <v>Too Fast</v>
      </c>
      <c r="Q11" s="31" t="b">
        <v>0</v>
      </c>
    </row>
    <row r="12" spans="1:34" x14ac:dyDescent="0.3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1"/>
      <c r="Q12" s="28"/>
    </row>
    <row r="13" spans="1:34" x14ac:dyDescent="0.3">
      <c r="A13" s="7"/>
      <c r="B13" s="8"/>
      <c r="C13" s="4" t="s">
        <v>15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25" t="str" cm="1">
        <f t="array" ref="P13">_xlfn.IFS(O13=6,1,O13=5,2,O13=4,3,O13=3,4,O13=2,5,O13=1,6,O12&lt;$D$12,"Too Fast",O12="DQ","DQ")</f>
        <v>Too Fast</v>
      </c>
      <c r="Q13" s="31" t="b">
        <v>0</v>
      </c>
    </row>
    <row r="14" spans="1:34" x14ac:dyDescent="0.3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1"/>
      <c r="Q14" s="28"/>
    </row>
    <row r="15" spans="1:34" x14ac:dyDescent="0.3">
      <c r="A15" s="7"/>
      <c r="B15" s="8"/>
      <c r="C15" s="4" t="s">
        <v>15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25" t="str" cm="1">
        <f t="array" ref="P15">_xlfn.IFS(O15=6,1,O15=5,2,O15=4,3,O15=3,4,O15=2,5,O15=1,6,O14&lt;$D$14,"Too Fast",O14="DQ","DQ")</f>
        <v>Too Fast</v>
      </c>
      <c r="Q15" s="31" t="b">
        <v>0</v>
      </c>
    </row>
    <row r="16" spans="1:34" x14ac:dyDescent="0.3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1"/>
      <c r="Q16" s="28"/>
    </row>
    <row r="17" spans="1:17" x14ac:dyDescent="0.3">
      <c r="A17" s="7"/>
      <c r="B17" s="8"/>
      <c r="C17" s="4" t="s">
        <v>15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25" t="str" cm="1">
        <f t="array" ref="P17">_xlfn.IFS(O17=6,1,O17=5,2,O17=4,3,O17=3,4,O17=2,5,O17=1,6,O16&lt;$D$16,"Too Fast",O16="DQ","DQ")</f>
        <v>Too Fast</v>
      </c>
      <c r="Q17" s="31" t="b">
        <v>0</v>
      </c>
    </row>
    <row r="18" spans="1:17" x14ac:dyDescent="0.3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1"/>
      <c r="Q18" s="28"/>
    </row>
    <row r="19" spans="1:17" x14ac:dyDescent="0.3">
      <c r="A19" s="7"/>
      <c r="B19" s="8"/>
      <c r="C19" s="4" t="s">
        <v>15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25" t="str" cm="1">
        <f t="array" ref="P19">_xlfn.IFS(O19=6,1,O19=5,2,O19=4,3,O19=3,4,O19=2,5,O19=1,6,O18&lt;$D$18,"Too Fast",O18="DQ","DQ")</f>
        <v>Too Fast</v>
      </c>
      <c r="Q19" s="31" t="b">
        <v>0</v>
      </c>
    </row>
    <row r="20" spans="1:17" x14ac:dyDescent="0.3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1"/>
      <c r="Q20" s="28"/>
    </row>
    <row r="21" spans="1:17" x14ac:dyDescent="0.3">
      <c r="A21" s="7"/>
      <c r="B21" s="8"/>
      <c r="C21" s="4" t="s">
        <v>15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25" t="str" cm="1">
        <f t="array" ref="P21">_xlfn.IFS(O21=6,1,O21=5,2,O21=4,3,O21=3,4,O21=2,5,O21=1,6,O20&lt;$D$20,"Too Fast",O20="DQ","DQ")</f>
        <v>Too Fast</v>
      </c>
      <c r="Q21" s="31" t="b">
        <v>0</v>
      </c>
    </row>
    <row r="22" spans="1:17" x14ac:dyDescent="0.3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1"/>
      <c r="Q22" s="28"/>
    </row>
    <row r="23" spans="1:17" x14ac:dyDescent="0.3">
      <c r="A23" s="7"/>
      <c r="B23" s="8"/>
      <c r="C23" s="4" t="s">
        <v>15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25" t="str" cm="1">
        <f t="array" ref="P23">_xlfn.IFS(O23=6,1,O23=5,2,O23=4,3,O23=3,4,O23=2,5,O23=1,6,O22&lt;$D$22,"Too Fast",O22="DQ","DQ")</f>
        <v>Too Fast</v>
      </c>
      <c r="Q23" s="31" t="b">
        <v>0</v>
      </c>
    </row>
    <row r="24" spans="1:17" x14ac:dyDescent="0.3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1"/>
      <c r="Q24" s="28"/>
    </row>
    <row r="25" spans="1:17" x14ac:dyDescent="0.3">
      <c r="A25" s="7"/>
      <c r="B25" s="8"/>
      <c r="C25" s="4" t="s">
        <v>15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25" t="str" cm="1">
        <f t="array" ref="P25">_xlfn.IFS(O25=6,1,O25=5,2,O25=4,3,O25=3,4,O25=2,5,O25=1,6,O24&lt;$D$24,"Too Fast",O24="DQ","DQ")</f>
        <v>Too Fast</v>
      </c>
      <c r="Q25" s="31" t="b">
        <v>0</v>
      </c>
    </row>
    <row r="26" spans="1:17" x14ac:dyDescent="0.3">
      <c r="A26" s="2"/>
      <c r="B26" s="12" t="s">
        <v>39</v>
      </c>
      <c r="C26" s="4" t="s">
        <v>15</v>
      </c>
      <c r="D26" s="16"/>
      <c r="E26" s="13">
        <f>E7+E9+E11+E13+E15+E17+E19+E21+E23+E25</f>
        <v>0</v>
      </c>
      <c r="F26" s="35"/>
      <c r="G26" s="13">
        <f t="shared" ref="G26:K26" si="50">G7+G9+G11+G13+G15+G17+G19+G21+G23+G25</f>
        <v>0</v>
      </c>
      <c r="H26" s="35"/>
      <c r="I26" s="13">
        <f t="shared" si="50"/>
        <v>0</v>
      </c>
      <c r="J26" s="35"/>
      <c r="K26" s="13">
        <f t="shared" si="50"/>
        <v>0</v>
      </c>
      <c r="L26" s="34"/>
      <c r="M26" s="13">
        <f t="shared" ref="M26" si="51">M7+M9+M11+M13+M15+M17+M19+M21+M23+M25</f>
        <v>0</v>
      </c>
      <c r="N26" s="34"/>
      <c r="O26" s="13">
        <f t="shared" ref="O26" si="52">O7+O9+O11+O13+O15+O17+O19+O21+O23+O25</f>
        <v>0</v>
      </c>
      <c r="P26" s="36"/>
      <c r="Q26" s="28"/>
    </row>
    <row r="27" spans="1:17" x14ac:dyDescent="0.3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1"/>
      <c r="Q27" s="28"/>
    </row>
    <row r="28" spans="1:17" x14ac:dyDescent="0.3">
      <c r="A28" s="7"/>
      <c r="B28" s="8"/>
      <c r="C28" s="4" t="s">
        <v>15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25" t="str" cm="1">
        <f t="array" ref="P28">_xlfn.IFS(O28=6,1,O28=5,2,O28=4,3,O28=3,4,O28=2,5,O28=1,6,O27&lt;$D$27,"Too Fast",O27="DQ","DQ")</f>
        <v>Too Fast</v>
      </c>
      <c r="Q28" s="31" t="b">
        <v>0</v>
      </c>
    </row>
    <row r="29" spans="1:17" x14ac:dyDescent="0.3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1"/>
      <c r="Q29" s="28"/>
    </row>
    <row r="30" spans="1:17" x14ac:dyDescent="0.3">
      <c r="A30" s="7"/>
      <c r="B30" s="8"/>
      <c r="C30" s="4" t="s">
        <v>15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25" t="str" cm="1">
        <f t="array" ref="P30">_xlfn.IFS(O30=6,1,O30=5,2,O30=4,3,O30=3,4,O30=2,5,O30=1,6,O29&lt;$D$29,"Too Fast",O29="DQ","DQ")</f>
        <v>Too Fast</v>
      </c>
      <c r="Q30" s="31" t="b">
        <v>0</v>
      </c>
    </row>
    <row r="31" spans="1:17" x14ac:dyDescent="0.3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3"/>
      <c r="Q31" s="28"/>
    </row>
    <row r="32" spans="1:17" x14ac:dyDescent="0.3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25" t="str" cm="1">
        <f t="array" ref="P32">_xlfn.IFS(O32=6,1,O32=5,2,O32=4,3,O32=3,4,O32=2,5,O32=1,6,O31&lt;$D$31,"Too Fast",O31="DQ","DQ")</f>
        <v>Too Fast</v>
      </c>
      <c r="Q32" s="31" t="b">
        <v>0</v>
      </c>
    </row>
    <row r="33" spans="1:27" x14ac:dyDescent="0.3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1"/>
      <c r="Q33" s="28"/>
    </row>
    <row r="34" spans="1:27" x14ac:dyDescent="0.3">
      <c r="A34" s="7"/>
      <c r="B34" s="8"/>
      <c r="C34" s="4" t="s">
        <v>15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25" t="str" cm="1">
        <f t="array" ref="P34">_xlfn.IFS(O34=6,1,O34=5,2,O34=4,3,O34=3,4,O34=2,5,O34=1,6,O33&lt;$D$33,"Too Fast",O33="DQ","DQ")</f>
        <v>Too Fast</v>
      </c>
      <c r="Q34" s="31" t="b">
        <v>0</v>
      </c>
    </row>
    <row r="35" spans="1:27" x14ac:dyDescent="0.3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1"/>
      <c r="Q35" s="28"/>
    </row>
    <row r="36" spans="1:27" x14ac:dyDescent="0.3">
      <c r="A36" s="7"/>
      <c r="B36" s="8"/>
      <c r="C36" s="4" t="s">
        <v>15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25" t="str" cm="1">
        <f t="array" ref="P36">_xlfn.IFS(O36=6,1,O36=5,2,O36=4,3,O36=3,4,O36=2,5,O36=1,6,O35&lt;$D$35,"Too Fast",O35="DQ","DQ")</f>
        <v>Too Fast</v>
      </c>
      <c r="Q36" s="31" t="b">
        <v>0</v>
      </c>
    </row>
    <row r="37" spans="1:27" x14ac:dyDescent="0.3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1"/>
      <c r="Q37" s="28"/>
    </row>
    <row r="38" spans="1:27" x14ac:dyDescent="0.3">
      <c r="A38" s="7"/>
      <c r="B38" s="8"/>
      <c r="C38" s="4" t="s">
        <v>15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25" t="str" cm="1">
        <f t="array" ref="P38">_xlfn.IFS(O38=6,1,O38=5,2,O38=4,3,O38=3,4,O38=2,5,O38=1,6,O37&lt;$D$37,"Too Fast",O37="DQ","DQ")</f>
        <v>Too Fast</v>
      </c>
      <c r="Q38" s="31" t="b">
        <v>0</v>
      </c>
    </row>
    <row r="39" spans="1:27" x14ac:dyDescent="0.3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1"/>
      <c r="Q39" s="28"/>
    </row>
    <row r="40" spans="1:27" x14ac:dyDescent="0.3">
      <c r="A40" s="7"/>
      <c r="B40" s="8"/>
      <c r="C40" s="4" t="s">
        <v>15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25" t="str" cm="1">
        <f t="array" ref="P40">_xlfn.IFS(O40=6,1,O40=5,2,O40=4,3,O40=3,4,O40=2,5,O40=1,6,O39&lt;$D$39,"Too Fast",O39="DQ","DQ")</f>
        <v>Too Fast</v>
      </c>
      <c r="Q40" s="31" t="b">
        <v>0</v>
      </c>
    </row>
    <row r="41" spans="1:27" x14ac:dyDescent="0.3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1"/>
      <c r="Q41" s="28"/>
    </row>
    <row r="42" spans="1:27" x14ac:dyDescent="0.3">
      <c r="A42" s="7"/>
      <c r="B42" s="8"/>
      <c r="C42" s="4" t="s">
        <v>15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25" t="str" cm="1">
        <f t="array" ref="P42">_xlfn.IFS(O42=6,1,O42=5,2,O42=4,3,O42=3,4,O42=2,5,O42=1,6,O41&lt;$D$41,"Too Fast",O41="DQ","DQ")</f>
        <v>Too Fast</v>
      </c>
      <c r="Q42" s="31" t="b">
        <v>0</v>
      </c>
    </row>
    <row r="43" spans="1:27" x14ac:dyDescent="0.3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1"/>
      <c r="Q43" s="28"/>
      <c r="V43" s="23"/>
    </row>
    <row r="44" spans="1:27" x14ac:dyDescent="0.3">
      <c r="A44" s="7"/>
      <c r="B44" s="8"/>
      <c r="C44" s="4" t="s">
        <v>15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25" t="str" cm="1">
        <f t="array" ref="P44">_xlfn.IFS(O44=6,1,O44=5,2,O44=4,3,O44=3,4,O44=2,5,O44=1,6,O43&lt;$D$43,"Too Fast",O43="DQ","DQ")</f>
        <v>Too Fast</v>
      </c>
      <c r="Q44" s="31" t="b">
        <v>0</v>
      </c>
      <c r="V44" s="23"/>
      <c r="W44" s="23"/>
      <c r="X44" s="23"/>
      <c r="Z44" s="23"/>
      <c r="AA44" s="23"/>
    </row>
    <row r="45" spans="1:27" x14ac:dyDescent="0.3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1"/>
      <c r="Q45" s="28"/>
      <c r="U45" s="24"/>
      <c r="Y45" s="23"/>
    </row>
    <row r="46" spans="1:27" x14ac:dyDescent="0.3">
      <c r="A46" s="7"/>
      <c r="B46" s="8"/>
      <c r="C46" s="4" t="s">
        <v>15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25" t="str" cm="1">
        <f t="array" ref="P46">_xlfn.IFS(O46=6,1,O46=5,2,O46=4,3,O46=3,4,O46=2,5,O46=1,6,O45&lt;$D$45,"Too Fast",O45="DQ","DQ")</f>
        <v>Too Fast</v>
      </c>
      <c r="Q46" s="31" t="b">
        <v>0</v>
      </c>
      <c r="U46" s="24"/>
    </row>
    <row r="47" spans="1:27" x14ac:dyDescent="0.3">
      <c r="A47" s="2"/>
      <c r="B47" s="12" t="s">
        <v>50</v>
      </c>
      <c r="C47" s="4" t="s">
        <v>15</v>
      </c>
      <c r="D47" s="16"/>
      <c r="E47" s="19">
        <f>E26+E28+E30+E32+E34+E36+E38+E40+E42+E44+E46</f>
        <v>0</v>
      </c>
      <c r="F47" s="37"/>
      <c r="G47" s="19">
        <f t="shared" ref="G47:K47" si="93">G26+G28+G30+G32+G34+G36+G38+G40+G42+G44+G46</f>
        <v>0</v>
      </c>
      <c r="H47" s="37"/>
      <c r="I47" s="19">
        <f t="shared" si="93"/>
        <v>0</v>
      </c>
      <c r="J47" s="37"/>
      <c r="K47" s="19">
        <f t="shared" si="93"/>
        <v>0</v>
      </c>
      <c r="L47" s="34"/>
      <c r="M47" s="19">
        <f t="shared" ref="M47" si="94">M26+M28+M30+M32+M34+M36+M38+M40+M42+M44+M46</f>
        <v>0</v>
      </c>
      <c r="N47" s="34"/>
      <c r="O47" s="19">
        <f t="shared" ref="O47" si="95">O26+O28+O30+O32+O34+O36+O38+O40+O42+O44+O46</f>
        <v>0</v>
      </c>
      <c r="P47" s="36"/>
      <c r="Q47" s="28"/>
      <c r="U47" s="24"/>
    </row>
    <row r="48" spans="1:27" x14ac:dyDescent="0.3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1"/>
      <c r="Q48" s="28"/>
      <c r="U48" s="24"/>
    </row>
    <row r="49" spans="1:21" x14ac:dyDescent="0.3">
      <c r="A49" s="7"/>
      <c r="B49" s="8"/>
      <c r="C49" s="4" t="s">
        <v>15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25" t="str" cm="1">
        <f t="array" ref="P49">_xlfn.IFS(O49=6,1,O49=5,2,O49=4,3,O49=3,4,O49=2,5,O49=1,6,O48&lt;$D$48,"Too Fast",O48="DQ","DQ")</f>
        <v>Too Fast</v>
      </c>
      <c r="Q49" s="31" t="b">
        <v>0</v>
      </c>
      <c r="U49" s="24"/>
    </row>
    <row r="50" spans="1:21" x14ac:dyDescent="0.3">
      <c r="A50" s="5">
        <v>22</v>
      </c>
      <c r="B50" s="10" t="s">
        <v>52</v>
      </c>
      <c r="C50" s="2" t="s">
        <v>32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1"/>
      <c r="Q50" s="28"/>
      <c r="U50" s="24"/>
    </row>
    <row r="51" spans="1:21" x14ac:dyDescent="0.3">
      <c r="A51" s="7"/>
      <c r="B51" s="8"/>
      <c r="C51" s="4" t="s">
        <v>15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25" t="str" cm="1">
        <f t="array" ref="P51">_xlfn.IFS(O51=6,1,O51=5,2,O51=4,3,O51=3,4,O51=2,5,O51=1,6,O50&lt;$D$50,"Too Fast",O50="DQ","DQ")</f>
        <v>Too Fast</v>
      </c>
      <c r="Q51" s="31" t="b">
        <v>0</v>
      </c>
      <c r="U51" s="24"/>
    </row>
    <row r="52" spans="1:21" x14ac:dyDescent="0.3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1"/>
      <c r="Q52" s="28"/>
      <c r="U52" s="24"/>
    </row>
    <row r="53" spans="1:21" x14ac:dyDescent="0.3">
      <c r="A53" s="7"/>
      <c r="B53" s="8"/>
      <c r="C53" s="4" t="s">
        <v>15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25" t="str" cm="1">
        <f t="array" ref="P53">_xlfn.IFS(O53=6,1,O53=5,2,O53=4,3,O53=3,4,O53=2,5,O53=1,6,O52&lt;$D$52,"Too Fast",O52="DQ","DQ")</f>
        <v>Too Fast</v>
      </c>
      <c r="Q53" s="31" t="b">
        <v>0</v>
      </c>
      <c r="U53" s="24"/>
    </row>
    <row r="54" spans="1:21" x14ac:dyDescent="0.3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1"/>
      <c r="Q54" s="28"/>
      <c r="U54" s="24"/>
    </row>
    <row r="55" spans="1:21" x14ac:dyDescent="0.3">
      <c r="A55" s="7"/>
      <c r="B55" s="8"/>
      <c r="C55" s="4" t="s">
        <v>15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25" t="str" cm="1">
        <f t="array" ref="P55">_xlfn.IFS(O55=6,1,O55=5,2,O55=4,3,O55=3,4,O55=2,5,O55=1,6,O54&lt;$D$54,"Too Fast",O54="DQ","DQ")</f>
        <v>Too Fast</v>
      </c>
      <c r="Q55" s="31" t="b">
        <v>0</v>
      </c>
      <c r="U55" s="24"/>
    </row>
    <row r="56" spans="1:21" x14ac:dyDescent="0.3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1"/>
      <c r="Q56" s="28"/>
      <c r="U56" s="24"/>
    </row>
    <row r="57" spans="1:21" x14ac:dyDescent="0.3">
      <c r="A57" s="7"/>
      <c r="B57" s="8"/>
      <c r="C57" s="4" t="s">
        <v>15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25" t="str" cm="1">
        <f t="array" ref="P57">_xlfn.IFS(O57=6,1,O57=5,2,O57=4,3,O57=3,4,O57=2,5,O57=1,6,O56&lt;$D$56,"Too Fast",O56="DQ","DQ")</f>
        <v>Too Fast</v>
      </c>
      <c r="Q57" s="31" t="b">
        <v>0</v>
      </c>
      <c r="U57" s="24"/>
    </row>
    <row r="58" spans="1:21" x14ac:dyDescent="0.3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1"/>
      <c r="Q58" s="28"/>
      <c r="U58" s="24"/>
    </row>
    <row r="59" spans="1:21" x14ac:dyDescent="0.3">
      <c r="A59" s="7"/>
      <c r="B59" s="8"/>
      <c r="C59" s="4" t="s">
        <v>15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25" t="str" cm="1">
        <f t="array" ref="P59">_xlfn.IFS(O59=6,1,O59=5,2,O59=4,3,O59=3,4,O59=2,5,O59=1,6,O58&lt;$D$58,"Too Fast",O58="DQ","DQ")</f>
        <v>Too Fast</v>
      </c>
      <c r="Q59" s="31" t="b">
        <v>0</v>
      </c>
      <c r="U59" s="24"/>
    </row>
    <row r="60" spans="1:21" x14ac:dyDescent="0.3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1"/>
      <c r="Q60" s="28"/>
      <c r="U60" s="24"/>
    </row>
    <row r="61" spans="1:21" x14ac:dyDescent="0.3">
      <c r="A61" s="7"/>
      <c r="B61" s="8"/>
      <c r="C61" s="4" t="s">
        <v>15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25" t="str" cm="1">
        <f t="array" ref="P61">_xlfn.IFS(O61=6,1,O61=5,2,O61=4,3,O61=3,4,O61=2,5,O61=1,6,O60&lt;$D$60,"Too Fast",O60="DQ","DQ")</f>
        <v>Too Fast</v>
      </c>
      <c r="Q61" s="31" t="b">
        <v>0</v>
      </c>
      <c r="U61" s="24"/>
    </row>
    <row r="62" spans="1:21" x14ac:dyDescent="0.3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1"/>
      <c r="Q62" s="28"/>
      <c r="U62" s="24"/>
    </row>
    <row r="63" spans="1:21" x14ac:dyDescent="0.3">
      <c r="A63" s="7"/>
      <c r="B63" s="8"/>
      <c r="C63" s="4" t="s">
        <v>15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25" t="str" cm="1">
        <f t="array" ref="P63">_xlfn.IFS(O63=6,1,O63=5,2,O63=4,3,O63=3,4,O63=2,5,O63=1,6,O62&lt;$D$62,"Too Fast",O62="DQ","DQ")</f>
        <v>Too Fast</v>
      </c>
      <c r="Q63" s="31" t="b">
        <v>0</v>
      </c>
      <c r="U63" s="24"/>
    </row>
    <row r="64" spans="1:21" x14ac:dyDescent="0.3">
      <c r="A64" s="5">
        <v>29</v>
      </c>
      <c r="B64" s="10" t="s">
        <v>60</v>
      </c>
      <c r="C64" s="2" t="s">
        <v>32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1"/>
      <c r="Q64" s="28"/>
      <c r="U64" s="24"/>
    </row>
    <row r="65" spans="1:21" x14ac:dyDescent="0.3">
      <c r="A65" s="7"/>
      <c r="B65" s="8"/>
      <c r="C65" s="4" t="s">
        <v>15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25" t="str" cm="1">
        <f t="array" ref="P65">_xlfn.IFS(O65=6,1,O65=5,2,O65=4,3,O65=3,4,O65=2,5,O65=1,6,O64&lt;$D$64,"Too Fast",O64="DQ","DQ")</f>
        <v>Too Fast</v>
      </c>
      <c r="Q65" s="31" t="b">
        <v>0</v>
      </c>
      <c r="U65" s="24"/>
    </row>
    <row r="66" spans="1:21" x14ac:dyDescent="0.3">
      <c r="A66" s="5">
        <v>30</v>
      </c>
      <c r="B66" s="10" t="s">
        <v>61</v>
      </c>
      <c r="C66" s="2" t="s">
        <v>32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1"/>
      <c r="Q66" s="28"/>
      <c r="U66" s="24"/>
    </row>
    <row r="67" spans="1:21" x14ac:dyDescent="0.3">
      <c r="A67" s="7"/>
      <c r="B67" s="8"/>
      <c r="C67" s="4" t="s">
        <v>15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25" t="str" cm="1">
        <f t="array" ref="P67">_xlfn.IFS(O67=6,1,O67=5,2,O67=4,3,O67=3,4,O67=2,5,O67=1,6,O66&lt;$D$66,"Too Fast",O66="DQ","DQ")</f>
        <v>Too Fast</v>
      </c>
      <c r="Q67" s="31" t="b">
        <v>0</v>
      </c>
      <c r="U67" s="24"/>
    </row>
    <row r="68" spans="1:21" x14ac:dyDescent="0.3">
      <c r="A68" s="2"/>
      <c r="B68" s="12" t="s">
        <v>62</v>
      </c>
      <c r="C68" s="4" t="s">
        <v>15</v>
      </c>
      <c r="D68" s="16"/>
      <c r="E68" s="19">
        <f>E47+E49+E51+E53+E55+E57+E59+E61+E63+E65+E67</f>
        <v>0</v>
      </c>
      <c r="F68" s="37"/>
      <c r="G68" s="19">
        <f t="shared" ref="G68:K68" si="146">G47+G49+G51+G53+G55+G57+G59+G61+G63+G65+G67</f>
        <v>0</v>
      </c>
      <c r="H68" s="37"/>
      <c r="I68" s="19">
        <f t="shared" si="146"/>
        <v>0</v>
      </c>
      <c r="J68" s="37"/>
      <c r="K68" s="19">
        <f t="shared" si="146"/>
        <v>0</v>
      </c>
      <c r="L68" s="34"/>
      <c r="M68" s="19">
        <f t="shared" ref="M68" si="147">M47+M49+M51+M53+M55+M57+M59+M61+M63+M65+M67</f>
        <v>0</v>
      </c>
      <c r="N68" s="34"/>
      <c r="O68" s="19">
        <f t="shared" ref="O68" si="148">O47+O49+O51+O53+O55+O57+O59+O61+O63+O65+O67</f>
        <v>0</v>
      </c>
      <c r="P68" s="36"/>
      <c r="Q68" s="28"/>
      <c r="U68" s="24"/>
    </row>
    <row r="69" spans="1:21" x14ac:dyDescent="0.3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3"/>
      <c r="Q69" s="28"/>
      <c r="U69" s="24"/>
    </row>
    <row r="70" spans="1:21" x14ac:dyDescent="0.3">
      <c r="A70" s="7"/>
      <c r="B70" s="8"/>
      <c r="C70" s="4" t="s">
        <v>15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25" t="str" cm="1">
        <f t="array" ref="P70">_xlfn.IFS(O70=6,1,O70=5,2,O70=4,3,O70=3,4,O70=2,5,O70=1,6,O69&lt;$D$69,"Too Fast",O69="DQ","DQ")</f>
        <v>Too Fast</v>
      </c>
      <c r="Q70" s="31" t="b">
        <v>0</v>
      </c>
      <c r="U70" s="24"/>
    </row>
    <row r="71" spans="1:21" x14ac:dyDescent="0.3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3"/>
      <c r="Q71" s="28"/>
      <c r="U71" s="24"/>
    </row>
    <row r="72" spans="1:21" x14ac:dyDescent="0.3">
      <c r="A72" s="7"/>
      <c r="B72" s="8"/>
      <c r="C72" s="4" t="s">
        <v>15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25" t="str" cm="1">
        <f t="array" ref="P72">_xlfn.IFS(O72=6,1,O72=5,2,O72=4,3,O72=3,4,O72=2,5,O72=1,6,O71&lt;$D$71,"Too Fast",O71="DQ","DQ")</f>
        <v>Too Fast</v>
      </c>
      <c r="Q72" s="31" t="b">
        <v>0</v>
      </c>
      <c r="U72" s="24"/>
    </row>
    <row r="73" spans="1:21" x14ac:dyDescent="0.3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3"/>
      <c r="Q73" s="28"/>
      <c r="U73" s="24"/>
    </row>
    <row r="74" spans="1:21" x14ac:dyDescent="0.3">
      <c r="A74" s="7"/>
      <c r="B74" s="8"/>
      <c r="C74" s="4" t="s">
        <v>15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25" t="str" cm="1">
        <f t="array" ref="P74">_xlfn.IFS(O74=6,1,O74=5,2,O74=4,3,O74=3,4,O74=2,5,O74=1,6,O73&lt;$D$73,"Too Fast",O73="DQ","DQ")</f>
        <v>Too Fast</v>
      </c>
      <c r="Q74" s="31" t="b">
        <v>0</v>
      </c>
      <c r="U74" s="24"/>
    </row>
    <row r="75" spans="1:21" x14ac:dyDescent="0.3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3"/>
      <c r="Q75" s="28"/>
    </row>
    <row r="76" spans="1:21" x14ac:dyDescent="0.3">
      <c r="A76" s="7"/>
      <c r="B76" s="8"/>
      <c r="C76" s="4" t="s">
        <v>15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25" t="str" cm="1">
        <f t="array" ref="P76">_xlfn.IFS(O76=6,1,O76=5,2,O76=4,3,O76=3,4,O76=2,5,O76=1,6,O75&lt;$D$75,"Too Fast",O75="DQ","DQ")</f>
        <v>Too Fast</v>
      </c>
      <c r="Q76" s="31" t="b">
        <v>0</v>
      </c>
    </row>
    <row r="77" spans="1:21" x14ac:dyDescent="0.3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3"/>
      <c r="Q77" s="28"/>
    </row>
    <row r="78" spans="1:21" x14ac:dyDescent="0.3">
      <c r="A78" s="7"/>
      <c r="B78" s="8"/>
      <c r="C78" s="4" t="s">
        <v>15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25" t="str" cm="1">
        <f t="array" ref="P78">_xlfn.IFS(O78=6,1,O78=5,2,O78=4,3,O78=3,4,O78=2,5,O78=1,6,O77&lt;$D$77,"Too Fast",O77="DQ","DQ")</f>
        <v>Too Fast</v>
      </c>
      <c r="Q78" s="31" t="b">
        <v>0</v>
      </c>
    </row>
    <row r="79" spans="1:21" x14ac:dyDescent="0.3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3"/>
      <c r="Q79" s="28"/>
    </row>
    <row r="80" spans="1:21" x14ac:dyDescent="0.3">
      <c r="A80" s="7"/>
      <c r="B80" s="8"/>
      <c r="C80" s="4" t="s">
        <v>15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25" t="str" cm="1">
        <f t="array" ref="P80">_xlfn.IFS(O80=6,1,O80=5,2,O80=4,3,O80=3,4,O80=2,5,O80=1,6,O79&lt;$D$79,"Too Fast",O79="DQ","DQ")</f>
        <v>Too Fast</v>
      </c>
      <c r="Q80" s="31" t="b">
        <v>0</v>
      </c>
    </row>
    <row r="81" spans="1:17" x14ac:dyDescent="0.3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3"/>
      <c r="Q81" s="28"/>
    </row>
    <row r="82" spans="1:17" x14ac:dyDescent="0.3">
      <c r="A82" s="7"/>
      <c r="B82" s="8"/>
      <c r="C82" s="4" t="s">
        <v>15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25" t="str" cm="1">
        <f t="array" ref="P82">_xlfn.IFS(O82=6,1,O82=5,2,O82=4,3,O82=3,4,O82=2,5,O82=1,6,O81&lt;$D$81,"Too Fast",O81="DQ","DQ")</f>
        <v>Too Fast</v>
      </c>
      <c r="Q82" s="31" t="b">
        <v>0</v>
      </c>
    </row>
    <row r="83" spans="1:17" x14ac:dyDescent="0.3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3"/>
      <c r="Q83" s="28"/>
    </row>
    <row r="84" spans="1:17" x14ac:dyDescent="0.3">
      <c r="A84" s="7"/>
      <c r="B84" s="8"/>
      <c r="C84" s="4" t="s">
        <v>15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25" t="str" cm="1">
        <f t="array" ref="P84">_xlfn.IFS(O84=6,1,O84=5,2,O84=4,3,O84=3,4,O84=2,5,O84=1,6,O83&lt;$D$83,"Too Fast",O83="DQ","DQ")</f>
        <v>Too Fast</v>
      </c>
      <c r="Q84" s="31" t="b">
        <v>0</v>
      </c>
    </row>
    <row r="85" spans="1:17" x14ac:dyDescent="0.3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3"/>
      <c r="Q85" s="28"/>
    </row>
    <row r="86" spans="1:17" x14ac:dyDescent="0.3">
      <c r="A86" s="7"/>
      <c r="B86" s="8"/>
      <c r="C86" s="4" t="s">
        <v>15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25" t="str" cm="1">
        <f t="array" ref="P86">_xlfn.IFS(O86=6,1,O86=5,2,O86=4,3,O86=3,4,O86=2,5,O86=1,6,O85&lt;$D$85,"Too Fast",O85="DQ","DQ")</f>
        <v>Too Fast</v>
      </c>
      <c r="Q86" s="31" t="b">
        <v>0</v>
      </c>
    </row>
    <row r="87" spans="1:17" x14ac:dyDescent="0.3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3"/>
      <c r="Q87" s="28"/>
    </row>
    <row r="88" spans="1:17" x14ac:dyDescent="0.3">
      <c r="A88" s="7"/>
      <c r="B88" s="8"/>
      <c r="C88" s="4" t="s">
        <v>15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25" t="str" cm="1">
        <f t="array" ref="P88">_xlfn.IFS(O88=6,1,O88=5,2,O88=4,3,O88=3,4,O88=2,5,O88=1,6,O87&lt;$D$87,"Too Fast",O87="DQ","DQ")</f>
        <v>Too Fast</v>
      </c>
      <c r="Q88" s="31" t="b">
        <v>0</v>
      </c>
    </row>
    <row r="89" spans="1:17" x14ac:dyDescent="0.3">
      <c r="A89" s="2"/>
      <c r="B89" s="12" t="s">
        <v>73</v>
      </c>
      <c r="C89" s="4" t="s">
        <v>15</v>
      </c>
      <c r="D89" s="16"/>
      <c r="E89" s="19">
        <f>E68+E70+E72+E74+E76+E78+E80+E82+E84+E86+E88</f>
        <v>0</v>
      </c>
      <c r="F89" s="37"/>
      <c r="G89" s="19">
        <f t="shared" ref="G89:K89" si="199">G68+G70+G72+G74+G76+G78+G80+G82+G84+G86+G88</f>
        <v>0</v>
      </c>
      <c r="H89" s="37"/>
      <c r="I89" s="19">
        <f t="shared" si="199"/>
        <v>0</v>
      </c>
      <c r="J89" s="37"/>
      <c r="K89" s="19">
        <f t="shared" si="199"/>
        <v>0</v>
      </c>
      <c r="L89" s="34"/>
      <c r="M89" s="19">
        <f t="shared" ref="M89" si="200">M68+M70+M72+M74+M76+M78+M80+M82+M84+M86+M88</f>
        <v>0</v>
      </c>
      <c r="N89" s="34"/>
      <c r="O89" s="19">
        <f t="shared" ref="O89" si="201">O68+O70+O72+O74+O76+O78+O80+O82+O84+O86+O88</f>
        <v>0</v>
      </c>
      <c r="P89" s="36"/>
      <c r="Q89" s="28"/>
    </row>
    <row r="90" spans="1:17" x14ac:dyDescent="0.3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3"/>
      <c r="Q90" s="28"/>
    </row>
    <row r="91" spans="1:17" x14ac:dyDescent="0.3">
      <c r="A91" s="7"/>
      <c r="B91" s="8"/>
      <c r="C91" s="4" t="s">
        <v>15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25" t="str" cm="1">
        <f t="array" ref="P91">_xlfn.IFS(O91=6,1,O91=5,2,O91=4,3,O91=3,4,O91=2,5,O91=1,6,O90&lt;$D$90,"Too Fast",O90="DQ","DQ")</f>
        <v>Too Fast</v>
      </c>
      <c r="Q91" s="31" t="b">
        <v>0</v>
      </c>
    </row>
    <row r="92" spans="1:17" x14ac:dyDescent="0.3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3"/>
      <c r="Q92" s="28"/>
    </row>
    <row r="93" spans="1:17" x14ac:dyDescent="0.3">
      <c r="A93" s="7"/>
      <c r="B93" s="8"/>
      <c r="C93" s="4" t="s">
        <v>15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25" t="str" cm="1">
        <f t="array" ref="P93">_xlfn.IFS(O93=6,1,O93=5,2,O93=4,3,O93=3,4,O93=2,5,O93=1,6,O92&lt;$D$92,"Too Fast",O92="DQ","DQ")</f>
        <v>Too Fast</v>
      </c>
      <c r="Q93" s="31" t="b">
        <v>0</v>
      </c>
    </row>
    <row r="94" spans="1:17" x14ac:dyDescent="0.3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3"/>
      <c r="Q94" s="28"/>
    </row>
    <row r="95" spans="1:17" x14ac:dyDescent="0.3">
      <c r="A95" s="8"/>
      <c r="B95" s="8"/>
      <c r="C95" s="4" t="s">
        <v>15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25" t="str" cm="1">
        <f t="array" ref="P95">_xlfn.IFS(O95=6,1,O95=5,2,O95=4,3,O95=3,4,O95=2,5,O95=1,6,O94&lt;$D$94,"Too Fast",O94="DQ","DQ")</f>
        <v>Too Fast</v>
      </c>
      <c r="Q95" s="31" t="b">
        <v>0</v>
      </c>
    </row>
    <row r="96" spans="1:17" x14ac:dyDescent="0.3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3"/>
      <c r="Q96" s="28"/>
    </row>
    <row r="97" spans="1:17" x14ac:dyDescent="0.3">
      <c r="A97" s="7"/>
      <c r="B97" s="8"/>
      <c r="C97" s="4" t="s">
        <v>15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25" t="str" cm="1">
        <f t="array" ref="P97">_xlfn.IFS(O97=6,1,O97=5,2,O97=4,3,O97=3,4,O97=2,5,O97=1,6,O96&lt;$D$96,"Too Fast",O96="DQ","DQ")</f>
        <v>Too Fast</v>
      </c>
      <c r="Q97" s="31" t="b">
        <v>0</v>
      </c>
    </row>
    <row r="98" spans="1:17" x14ac:dyDescent="0.3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3"/>
      <c r="Q98" s="28"/>
    </row>
    <row r="99" spans="1:17" x14ac:dyDescent="0.3">
      <c r="A99" s="7"/>
      <c r="B99" s="8"/>
      <c r="C99" s="4" t="s">
        <v>15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25" t="str" cm="1">
        <f t="array" ref="P99">_xlfn.IFS(O99=6,1,O99=5,2,O99=4,3,O99=3,4,O99=2,5,O99=1,6,O98&lt;$D$98,"Too Fast",O98="DQ","DQ")</f>
        <v>Too Fast</v>
      </c>
      <c r="Q99" s="31" t="b">
        <v>0</v>
      </c>
    </row>
    <row r="100" spans="1:17" x14ac:dyDescent="0.3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3"/>
      <c r="Q100" s="28"/>
    </row>
    <row r="101" spans="1:17" x14ac:dyDescent="0.3">
      <c r="A101" s="8"/>
      <c r="B101" s="8"/>
      <c r="C101" s="4" t="s">
        <v>15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25" t="str" cm="1">
        <f t="array" ref="P101">_xlfn.IFS(O101=6,1,O101=5,2,O101=4,3,O101=3,4,O101=2,5,O101=1,6,O100&lt;$D$100,"Too Fast",O100="DQ","DQ")</f>
        <v>Too Fast</v>
      </c>
      <c r="Q101" s="31" t="b">
        <v>0</v>
      </c>
    </row>
    <row r="102" spans="1:17" x14ac:dyDescent="0.3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3"/>
      <c r="Q102" s="28"/>
    </row>
    <row r="103" spans="1:17" x14ac:dyDescent="0.3">
      <c r="A103" s="7"/>
      <c r="B103" s="8"/>
      <c r="C103" s="4" t="s">
        <v>15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25" t="str" cm="1">
        <f t="array" ref="P103">_xlfn.IFS(O103=6,1,O103=5,2,O103=4,3,O103=3,4,O103=2,5,O103=1,6,O102&lt;$D$102,"Too Fast",O102="DQ","DQ")</f>
        <v>Too Fast</v>
      </c>
      <c r="Q103" s="31" t="b">
        <v>0</v>
      </c>
    </row>
    <row r="104" spans="1:17" x14ac:dyDescent="0.3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3"/>
      <c r="Q104" s="28"/>
    </row>
    <row r="105" spans="1:17" x14ac:dyDescent="0.3">
      <c r="A105" s="7"/>
      <c r="B105" s="8"/>
      <c r="C105" s="4" t="s">
        <v>15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25" t="str" cm="1">
        <f t="array" ref="P105">_xlfn.IFS(O105=6,1,O105=5,2,O105=4,3,O105=3,4,O105=2,5,O105=1,6,O104&lt;$D$104,"Too Fast",O104="DQ","DQ")</f>
        <v>Too Fast</v>
      </c>
      <c r="Q105" s="31" t="b">
        <v>0</v>
      </c>
    </row>
    <row r="106" spans="1:17" x14ac:dyDescent="0.3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3"/>
      <c r="Q106" s="28"/>
    </row>
    <row r="107" spans="1:17" x14ac:dyDescent="0.3">
      <c r="A107" s="8"/>
      <c r="B107" s="8"/>
      <c r="C107" s="4" t="s">
        <v>15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25" t="str" cm="1">
        <f t="array" ref="P107">_xlfn.IFS(O107=6,1,O107=5,2,O107=4,3,O107=3,4,O107=2,5,O107=1,6,O106&lt;$D$106,"Too Fast",O106="DQ","DQ")</f>
        <v>Too Fast</v>
      </c>
      <c r="Q107" s="31" t="b">
        <v>0</v>
      </c>
    </row>
    <row r="108" spans="1:17" x14ac:dyDescent="0.3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3"/>
      <c r="Q108" s="28"/>
    </row>
    <row r="109" spans="1:17" x14ac:dyDescent="0.3">
      <c r="A109" s="7"/>
      <c r="B109" s="8"/>
      <c r="C109" s="4" t="s">
        <v>15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25" t="str" cm="1">
        <f t="array" ref="P109">_xlfn.IFS(O109=6,1,O109=5,2,O109=4,3,O109=3,4,O109=2,5,O109=1,6,O108&lt;$D$108,"Too Fast",O108="DQ","DQ")</f>
        <v>Too Fast</v>
      </c>
      <c r="Q109" s="31" t="b">
        <v>0</v>
      </c>
    </row>
    <row r="110" spans="1:17" x14ac:dyDescent="0.3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3"/>
      <c r="Q110" s="28"/>
    </row>
    <row r="111" spans="1:17" x14ac:dyDescent="0.3">
      <c r="A111" s="7"/>
      <c r="B111" s="8"/>
      <c r="C111" s="4" t="s">
        <v>15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25" t="str" cm="1">
        <f t="array" ref="P111">_xlfn.IFS(O111=6,1,O111=5,2,O111=4,3,O111=3,4,O111=2,5,O111=1,6,O110&lt;$D$110,"Too Fast",O110="DQ","DQ")</f>
        <v>Too Fast</v>
      </c>
      <c r="Q111" s="31" t="b">
        <v>0</v>
      </c>
    </row>
    <row r="112" spans="1:17" x14ac:dyDescent="0.3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3"/>
      <c r="Q112" s="28"/>
    </row>
    <row r="113" spans="1:17" x14ac:dyDescent="0.3">
      <c r="A113" s="7"/>
      <c r="B113" s="8"/>
      <c r="C113" s="4" t="s">
        <v>15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25" t="str" cm="1">
        <f t="array" ref="P113">_xlfn.IFS(O113=6,1,O113=5,2,O113=4,3,O113=3,4,O113=2,5,O113=1,6,O112&lt;$D$112,"Too Fast",O112="DQ","DQ")</f>
        <v>Too Fast</v>
      </c>
      <c r="Q113" s="31" t="b">
        <v>0</v>
      </c>
    </row>
    <row r="114" spans="1:17" x14ac:dyDescent="0.3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3"/>
      <c r="Q114" s="28"/>
    </row>
    <row r="115" spans="1:17" x14ac:dyDescent="0.3">
      <c r="A115" s="8"/>
      <c r="B115" s="8"/>
      <c r="C115" s="4" t="s">
        <v>15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25" t="str" cm="1">
        <f t="array" ref="P115">_xlfn.IFS(O115=6,1,O115=5,2,O115=4,3,O115=3,4,O115=2,5,O115=1,6,O114&lt;$D$114,"Too Fast",O114="DQ","DQ")</f>
        <v>Too Fast</v>
      </c>
      <c r="Q115" s="31" t="b">
        <v>0</v>
      </c>
    </row>
    <row r="116" spans="1:17" x14ac:dyDescent="0.3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0</v>
      </c>
      <c r="F116" s="37"/>
      <c r="G116" s="19">
        <f t="shared" ref="G116:K116" si="267">G89+G91+G93+G95+G97+G99+G101+G103+G105+G107+G109+G111+G113+G115</f>
        <v>0</v>
      </c>
      <c r="H116" s="37"/>
      <c r="I116" s="19">
        <f t="shared" si="267"/>
        <v>0</v>
      </c>
      <c r="J116" s="37"/>
      <c r="K116" s="19">
        <f t="shared" si="267"/>
        <v>0</v>
      </c>
      <c r="L116" s="34"/>
      <c r="M116" s="19">
        <f t="shared" ref="M116" si="268">M89+M91+M93+M95+M97+M99+M101+M103+M105+M107+M109+M111+M113+M115</f>
        <v>0</v>
      </c>
      <c r="N116" s="34"/>
      <c r="O116" s="19">
        <f t="shared" ref="O116" si="269">O89+O91+O93+O95+O97+O99+O101+O103+O105+O107+O109+O111+O113+O115</f>
        <v>0</v>
      </c>
      <c r="P116" s="36"/>
      <c r="Q116" s="28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32" priority="4" operator="containsText" text="02;">
      <formula>NOT(ISERROR(SEARCH("02;",E6)))</formula>
    </cfRule>
    <cfRule type="containsText" dxfId="31" priority="5" operator="containsText" text="01;">
      <formula>NOT(ISERROR(SEARCH("01;",E6)))</formula>
    </cfRule>
    <cfRule type="containsText" dxfId="30" priority="6" operator="containsText" text="00;">
      <formula>NOT(ISERROR(SEARCH("00;",E6)))</formula>
    </cfRule>
    <cfRule type="containsText" dxfId="29" priority="7" operator="containsText" text="02.">
      <formula>NOT(ISERROR(SEARCH("02.",E6)))</formula>
    </cfRule>
    <cfRule type="containsText" dxfId="28" priority="8" operator="containsText" text="01.">
      <formula>NOT(ISERROR(SEARCH("01.",E6)))</formula>
    </cfRule>
    <cfRule type="containsText" dxfId="27" priority="10" operator="containsText" text="00.">
      <formula>NOT(ISERROR(SEARCH("00.",E6)))</formula>
    </cfRule>
  </conditionalFormatting>
  <conditionalFormatting sqref="Q1:Q1048576">
    <cfRule type="containsText" dxfId="26" priority="1" operator="containsText" text="TRUE">
      <formula>NOT(ISERROR(SEARCH("TRUE",Q1)))</formula>
    </cfRule>
    <cfRule type="containsText" dxfId="25" priority="2" operator="containsText" text="FALSE">
      <formula>NOT(ISERROR(SEARCH("FALSE",Q1)))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N116"/>
  <sheetViews>
    <sheetView zoomScale="75" workbookViewId="0">
      <selection activeCell="C5" sqref="C5"/>
    </sheetView>
  </sheetViews>
  <sheetFormatPr defaultColWidth="9" defaultRowHeight="14.4" x14ac:dyDescent="0.3"/>
  <cols>
    <col min="1" max="1" width="9.6640625" bestFit="1" customWidth="1"/>
    <col min="2" max="2" width="28" bestFit="1" customWidth="1"/>
    <col min="3" max="3" width="13.109375" bestFit="1" customWidth="1"/>
    <col min="4" max="4" width="12.44140625" bestFit="1" customWidth="1"/>
    <col min="5" max="20" width="10.33203125" customWidth="1"/>
    <col min="21" max="21" width="20.44140625" bestFit="1" customWidth="1"/>
    <col min="22" max="22" width="3.44140625" customWidth="1"/>
    <col min="23" max="23" width="6.109375" bestFit="1" customWidth="1"/>
    <col min="24" max="24" width="14.88671875" bestFit="1" customWidth="1"/>
    <col min="25" max="25" width="8.5546875" bestFit="1" customWidth="1"/>
    <col min="26" max="26" width="9.33203125" bestFit="1" customWidth="1"/>
    <col min="27" max="32" width="9" bestFit="1" customWidth="1"/>
    <col min="33" max="33" width="4.33203125" bestFit="1" customWidth="1"/>
    <col min="34" max="34" width="7.33203125" bestFit="1" customWidth="1"/>
    <col min="35" max="35" width="10.33203125" bestFit="1" customWidth="1"/>
    <col min="36" max="39" width="12" bestFit="1" customWidth="1"/>
    <col min="40" max="40" width="15.88671875" bestFit="1" customWidth="1"/>
  </cols>
  <sheetData>
    <row r="1" spans="1:40" ht="18" x14ac:dyDescent="0.35">
      <c r="A1" s="50" t="s">
        <v>88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40" x14ac:dyDescent="0.3">
      <c r="W2" s="47" t="s">
        <v>14</v>
      </c>
      <c r="X2" s="51"/>
      <c r="Y2" s="51"/>
      <c r="Z2" s="51"/>
      <c r="AA2" s="51"/>
      <c r="AB2" s="51"/>
      <c r="AC2" s="51"/>
      <c r="AD2" s="51"/>
      <c r="AE2" s="51"/>
      <c r="AF2" s="51"/>
      <c r="AG2" s="51"/>
      <c r="AH2" s="48"/>
      <c r="AI2" s="18"/>
      <c r="AJ2" s="18"/>
      <c r="AK2" s="18"/>
      <c r="AL2" s="18"/>
      <c r="AM2" s="18"/>
      <c r="AN2" s="18"/>
    </row>
    <row r="3" spans="1:40" x14ac:dyDescent="0.3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4</v>
      </c>
      <c r="L3" s="49"/>
      <c r="M3" s="49" t="s">
        <v>89</v>
      </c>
      <c r="N3" s="49"/>
      <c r="O3" s="49" t="s">
        <v>90</v>
      </c>
      <c r="P3" s="49"/>
      <c r="Q3" s="49" t="s">
        <v>93</v>
      </c>
      <c r="R3" s="49"/>
      <c r="S3" s="49" t="s">
        <v>94</v>
      </c>
      <c r="T3" s="49"/>
      <c r="W3" s="8"/>
      <c r="X3" s="8"/>
      <c r="Y3" s="17" t="s">
        <v>16</v>
      </c>
      <c r="Z3" s="17" t="s">
        <v>17</v>
      </c>
      <c r="AA3" s="17" t="s">
        <v>18</v>
      </c>
      <c r="AB3" s="17" t="s">
        <v>19</v>
      </c>
      <c r="AC3" s="17" t="s">
        <v>91</v>
      </c>
      <c r="AD3" s="17" t="s">
        <v>92</v>
      </c>
      <c r="AE3" s="17" t="s">
        <v>95</v>
      </c>
      <c r="AF3" s="17" t="s">
        <v>96</v>
      </c>
      <c r="AG3" s="17" t="s">
        <v>20</v>
      </c>
      <c r="AH3" s="17" t="s">
        <v>21</v>
      </c>
      <c r="AI3" s="17" t="s">
        <v>22</v>
      </c>
      <c r="AJ3" s="17" t="s">
        <v>23</v>
      </c>
      <c r="AK3" s="17" t="s">
        <v>24</v>
      </c>
      <c r="AL3" s="17" t="s">
        <v>25</v>
      </c>
      <c r="AM3" s="17" t="s">
        <v>26</v>
      </c>
      <c r="AN3" s="17" t="s">
        <v>27</v>
      </c>
    </row>
    <row r="4" spans="1:40" x14ac:dyDescent="0.3">
      <c r="A4" s="53"/>
      <c r="B4" s="53"/>
      <c r="C4" s="53"/>
      <c r="D4" s="53"/>
      <c r="E4" s="45" t="s">
        <v>5</v>
      </c>
      <c r="F4" s="46"/>
      <c r="G4" s="45" t="s">
        <v>5</v>
      </c>
      <c r="H4" s="46"/>
      <c r="I4" s="45" t="s">
        <v>5</v>
      </c>
      <c r="J4" s="46"/>
      <c r="K4" s="45" t="s">
        <v>5</v>
      </c>
      <c r="L4" s="46"/>
      <c r="M4" s="45" t="s">
        <v>5</v>
      </c>
      <c r="N4" s="46"/>
      <c r="O4" s="45" t="s">
        <v>5</v>
      </c>
      <c r="P4" s="46"/>
      <c r="Q4" s="45" t="s">
        <v>5</v>
      </c>
      <c r="R4" s="46"/>
      <c r="S4" s="45" t="s">
        <v>5</v>
      </c>
      <c r="T4" s="46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37">
        <f>E116</f>
        <v>0</v>
      </c>
      <c r="AJ4" s="37">
        <f>($E$26&gt;E26)+($G$26&gt;E26)+($I$26&gt;E26)+($K$26&gt;E26)+($M$26&gt;E26)+($O$26&gt;E26)+($Q$26&gt;E26)+($S$26&gt;E26)+1</f>
        <v>1</v>
      </c>
      <c r="AK4" s="37">
        <f>($E$47&gt;E47)+($G$47&gt;E47)+($I$47&gt;E47)+($K$47&gt;E47)+($M$47&gt;E47)+($O$47&gt;E47)+($Q$47&gt;E47)+($S$47&gt;E47)+1</f>
        <v>1</v>
      </c>
      <c r="AL4" s="37">
        <f>($E$68&gt;E68)+($G$68&gt;E68)+($I$68&gt;E68)+($K$68&gt;E68)+($M$68&gt;E68)+($O$68&gt;E68)+($Q$68&gt;E68)+($S$68&gt;E68)+1</f>
        <v>1</v>
      </c>
      <c r="AM4" s="37">
        <f>($E$89&gt;E89)+($G$89&gt;E89)+($I$89&gt;E89)+($K$89&gt;E89)+($M$89&gt;E89)+($O$89&gt;E89)+($Q$89&gt;E89)+($S$89&gt;E89)+1</f>
        <v>1</v>
      </c>
      <c r="AN4" s="37">
        <f>($E$116&gt;E116)+($G$116&gt;E116)+($I$116&gt;E116)+($K$116&gt;E116)+($M$116&gt;E116)+($O$116&gt;E116)+($Q$116&gt;E116)+($S$116&gt;E116)+1</f>
        <v>1</v>
      </c>
    </row>
    <row r="5" spans="1:40" x14ac:dyDescent="0.3">
      <c r="A5" s="1" t="s">
        <v>6</v>
      </c>
      <c r="B5" s="38" t="s">
        <v>7</v>
      </c>
      <c r="C5" s="38" t="s">
        <v>8</v>
      </c>
      <c r="D5" s="38" t="s">
        <v>9</v>
      </c>
      <c r="E5" s="47" t="s">
        <v>10</v>
      </c>
      <c r="F5" s="48"/>
      <c r="G5" s="47" t="s">
        <v>10</v>
      </c>
      <c r="H5" s="48"/>
      <c r="I5" s="47" t="s">
        <v>10</v>
      </c>
      <c r="J5" s="48"/>
      <c r="K5" s="49" t="s">
        <v>10</v>
      </c>
      <c r="L5" s="49"/>
      <c r="M5" s="49" t="s">
        <v>10</v>
      </c>
      <c r="N5" s="49"/>
      <c r="O5" s="49" t="s">
        <v>10</v>
      </c>
      <c r="P5" s="49"/>
      <c r="Q5" s="49" t="s">
        <v>10</v>
      </c>
      <c r="R5" s="49"/>
      <c r="S5" s="49" t="s">
        <v>10</v>
      </c>
      <c r="T5" s="49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37">
        <f>G116</f>
        <v>0</v>
      </c>
      <c r="AJ5" s="37">
        <f>($E$26&gt;G26)+($G$26&gt;G26)+($I$26&gt;G26)+($K$26&gt;G26)+($M$26&gt;G26)+($O$26&gt;G26)+($Q$26&gt;G26)+($S$26&gt;G26)+1</f>
        <v>1</v>
      </c>
      <c r="AK5" s="37">
        <f>($E$47&gt;G47)+($G$47&gt;G47)+($I$47&gt;G47)+($K$47&gt;G47)+($M$47&gt;G47)+($O$47&gt;G47)+($Q$47&gt;G47)+($S$47&gt;G47)+1</f>
        <v>1</v>
      </c>
      <c r="AL5" s="37">
        <f>($E$68&gt;G68)+($G$68&gt;G68)+($I$68&gt;G68)+($K$68&gt;G68)+($M$68&gt;G68)+($O$68&gt;G68)+($Q$68&gt;G68)+($S$68&gt;G68)+1</f>
        <v>1</v>
      </c>
      <c r="AM5" s="37">
        <f>($E$89&gt;G89)+($G$89&gt;G89)+($I$89&gt;G89)+($K$89&gt;G89)+($M$89&gt;G89)+($O$89&gt;G89)+($Q$89&gt;G89)+($S$89&gt;G89)+1</f>
        <v>1</v>
      </c>
      <c r="AN5" s="37">
        <f>($E$116&gt;G116)+($G$116&gt;G116)+($I$116&gt;G116)+($K$116&gt;G116)+($M$116&gt;G116)+($O$116&gt;G116)+($Q$116&gt;G116)+($S$116&gt;G116)+1</f>
        <v>1</v>
      </c>
    </row>
    <row r="6" spans="1:40" x14ac:dyDescent="0.3">
      <c r="A6" s="5">
        <v>1</v>
      </c>
      <c r="B6" s="6" t="s">
        <v>11</v>
      </c>
      <c r="C6" s="2" t="s">
        <v>12</v>
      </c>
      <c r="D6" s="16">
        <v>8.9988425925925924E-4</v>
      </c>
      <c r="E6" s="41"/>
      <c r="F6" s="42"/>
      <c r="G6" s="41"/>
      <c r="H6" s="42"/>
      <c r="I6" s="41"/>
      <c r="J6" s="42"/>
      <c r="K6" s="41"/>
      <c r="L6" s="42"/>
      <c r="M6" s="41"/>
      <c r="N6" s="42"/>
      <c r="O6" s="41"/>
      <c r="P6" s="42"/>
      <c r="Q6" s="41"/>
      <c r="R6" s="42"/>
      <c r="S6" s="41"/>
      <c r="T6" s="43"/>
      <c r="U6" s="30" t="s">
        <v>13</v>
      </c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37">
        <f>I116</f>
        <v>0</v>
      </c>
      <c r="AJ6" s="37">
        <f>($E$26&gt;I26)+($G$26&gt;I26)+($I$26&gt;I26)+($K$26&gt;I26)+($M$26&gt;I26)+($O$26&gt;I26)+($Q$26&gt;I26)+($S$26&gt;I26)+1</f>
        <v>1</v>
      </c>
      <c r="AK6" s="37">
        <f>($E$47&gt;I47)+($G$47&gt;I47)+($I$47&gt;I47)+($K$47&gt;I47)+($M$47&gt;I47)+($O$47&gt;I47)+($Q$47&gt;I47)+($S$47&gt;I47)+1</f>
        <v>1</v>
      </c>
      <c r="AL6" s="37">
        <f>($E$68&gt;I68)+($G$68&gt;I68)+($I$68&gt;I68)+($K$68&gt;I68)+($M$68&gt;I68)+($O$68&gt;I68)+($Q$68&gt;I68)+($S$68&gt;I68)+1</f>
        <v>1</v>
      </c>
      <c r="AM6" s="37">
        <f>($E$89&gt;I89)+($G$89&gt;I89)+($I$89&gt;I89)+($K$89&gt;I89)+($M$89&gt;I89)+($O$89&gt;I89)+($Q$89&gt;I89)+($S$89&gt;I89)+1</f>
        <v>1</v>
      </c>
      <c r="AN6" s="37">
        <f>($E$116&gt;I116)+($G$116&gt;I116)+($I$116&gt;I116)+($K$116&gt;I116)+($M$116&gt;I116)+($O$116&gt;I116)+($Q$116&gt;I116)+($S$116&gt;I116)+1</f>
        <v>1</v>
      </c>
    </row>
    <row r="7" spans="1:40" x14ac:dyDescent="0.3">
      <c r="A7" s="7"/>
      <c r="B7" s="8"/>
      <c r="C7" s="4" t="s">
        <v>15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25" t="str" cm="1">
        <f t="array" ref="T7">_xlfn.IFS(S7=8,1,S7=7,2,S7=6,3,S7=5,4,S7=4,5,S7=3,6,S7=2,7,S7=1,8,S6&lt;$D$6,"Too Fast",S6="DQ","DQ")</f>
        <v>Too Fast</v>
      </c>
      <c r="U7" s="31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37">
        <f>K116</f>
        <v>0</v>
      </c>
      <c r="AJ7" s="37">
        <f>($E$26&gt;K26)+($G$26&gt;K26)+($I$26&gt;K26)+($K$26&gt;K26)+($M$26&gt;K26)+($O$26&gt;K26)+($Q$26&gt;K26)+($S$26&gt;K26)+1</f>
        <v>1</v>
      </c>
      <c r="AK7" s="37">
        <f>($E$47&gt;K47)+($G$47&gt;K47)+($I$47&gt;K47)+($K$47&gt;K47)+($M$47&gt;K47)+($O$47&gt;K47)+($Q$47&gt;K47)+($S$47&gt;K47)+1</f>
        <v>1</v>
      </c>
      <c r="AL7" s="37">
        <f>($E$68&gt;K68)+($G$68&gt;K68)+($I$68&gt;K68)+($K$68&gt;K68)+($M$68&gt;K68)+($O$68&gt;K68)+($Q$68&gt;K68)+($S$68&gt;K68)+1</f>
        <v>1</v>
      </c>
      <c r="AM7" s="37">
        <f>($E$89&gt;K89)+($G$89&gt;K89)+($I$89&gt;K89)+($K$89&gt;K89)+($M$89&gt;K89)+($O$89&gt;K89)+($Q$89&gt;K89)+($S$89&gt;K89)+1</f>
        <v>1</v>
      </c>
      <c r="AN7" s="37">
        <f>($E$116&gt;K116)+($G$116&gt;K116)+($I$116&gt;K116)+($K$116&gt;K116)+($M$116&gt;K116)+($O$116&gt;K116)+($Q$116&gt;K116)+($S$116&gt;K116)+1</f>
        <v>1</v>
      </c>
    </row>
    <row r="8" spans="1:40" x14ac:dyDescent="0.3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2"/>
      <c r="Q8" s="41"/>
      <c r="R8" s="42"/>
      <c r="S8" s="41"/>
      <c r="T8" s="43"/>
      <c r="U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37">
        <f>M116</f>
        <v>0</v>
      </c>
      <c r="AJ8" s="37">
        <f>($E$26&gt;M26)+($G$26&gt;M26)+($I$26&gt;M26)+($K$26&gt;M26)+($M$26&gt;M26)+($O$26&gt;M26)+($Q$26&gt;M26)+($S$26&gt;M26)+1</f>
        <v>1</v>
      </c>
      <c r="AK8" s="37">
        <f>($E$47&gt;M47)+($G$47&gt;M47)+($I$47&gt;M47)+($K$47&gt;M47)+($M$47&gt;M47)+($O$47&gt;M47)+($Q$47&gt;M47)+($S$47&gt;M47)+1</f>
        <v>1</v>
      </c>
      <c r="AL8" s="37">
        <f>($E$68&gt;M68)+($G$68&gt;M68)+($I$68&gt;M68)+($K$68&gt;M68)+($M$68&gt;M68)+($O$68&gt;M68)+($Q$68&gt;M68)+($S$68&gt;M68)+1</f>
        <v>1</v>
      </c>
      <c r="AM8" s="37">
        <f>($E$89&gt;M89)+($G$89&gt;M89)+($I$89&gt;M89)+($K$89&gt;M89)+($M$89&gt;M89)+($O$89&gt;M89)+($Q$89&gt;M89)+($S$89&gt;M89)+1</f>
        <v>1</v>
      </c>
      <c r="AN8" s="37">
        <f>($E$116&gt;M116)+($G$116&gt;M116)+($I$116&gt;M116)+($K$116&gt;M116)+($M$116&gt;M116)+($O$116&gt;M116)+($Q$116&gt;M116)+($S$116&gt;M116)+1</f>
        <v>1</v>
      </c>
    </row>
    <row r="9" spans="1:40" x14ac:dyDescent="0.3">
      <c r="A9" s="7"/>
      <c r="B9" s="8"/>
      <c r="C9" s="4" t="s">
        <v>15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25" t="str" cm="1">
        <f t="array" ref="T9">_xlfn.IFS(S9=8,1,S9=7,2,S9=6,3,S9=5,4,S9=4,5,S9=3,6,S9=2,7,S9=1,8,S8&lt;$D$8,"Too Fast",S8="DQ","DQ")</f>
        <v>Too Fast</v>
      </c>
      <c r="U9" s="31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37">
        <f>O116</f>
        <v>0</v>
      </c>
      <c r="AJ9" s="37">
        <f>($E$26&gt;O26)+($G$26&gt;O26)+($I$26&gt;O26)+($K$26&gt;O26)+($M$26&gt;O26)+($O$26&gt;O26)+($Q$26&gt;O26)+($S$26&gt;O26)+1</f>
        <v>1</v>
      </c>
      <c r="AK9" s="37">
        <f>($E$47&gt;O47)+($G$47&gt;O47)+($I$47&gt;O47)+($K$47&gt;O47)+($M$47&gt;O47)+($O$47&gt;O47)+($Q$47&gt;O47)+($S$47&gt;O47)+1</f>
        <v>1</v>
      </c>
      <c r="AL9" s="37">
        <f>($E$68&gt;O68)+($G$68&gt;O68)+($I$68&gt;O68)+($K$68&gt;O68)+($M$68&gt;O68)+($O$68&gt;O68)+($Q$68&gt;O68)+($S$68&gt;O68)+1</f>
        <v>1</v>
      </c>
      <c r="AM9" s="37">
        <f>($E$89&gt;O89)+($G$89&gt;O89)+($I$89&gt;O89)+($K$89&gt;O89)+($M$89&gt;O89)+($O$89&gt;O89)+($Q$89&gt;O89)+($S$89&gt;O89)+1</f>
        <v>1</v>
      </c>
      <c r="AN9" s="37">
        <f>($E$116&gt;O116)+($G$116&gt;O116)+($I$116&gt;O116)+($K$116&gt;O116)+($M$116&gt;O116)+($O$116&gt;O116)+($Q$116&gt;O116)+($S$116&gt;O116)+1</f>
        <v>1</v>
      </c>
    </row>
    <row r="10" spans="1:40" x14ac:dyDescent="0.3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1"/>
      <c r="U10" s="28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37">
        <f>Q116</f>
        <v>0</v>
      </c>
      <c r="AJ10" s="37">
        <f>($E$26&gt;Q26)+($G$26&gt;Q26)+($I$26&gt;Q26)+($K$26&gt;Q26)+($M$26&gt;Q26)+($O$26&gt;Q26)+($Q$26&gt;Q26)+($S$26&gt;Q26)+1</f>
        <v>1</v>
      </c>
      <c r="AK10" s="37">
        <f>($E$47&gt;Q47)+($G$47&gt;Q47)+($I$47&gt;Q47)+($K$47&gt;Q47)+($M$47&gt;Q47)+($O$47&gt;Q47)+($Q$47&gt;Q47)+($S$47&gt;Q47)+1</f>
        <v>1</v>
      </c>
      <c r="AL10" s="37">
        <f>($E$68&gt;Q68)+($G$68&gt;Q68)+($I$68&gt;Q68)+($K$68&gt;Q68)+($M$68&gt;Q68)+($O$68&gt;Q68)+($Q$68&gt;Q68)+($S$68&gt;Q68)+1</f>
        <v>1</v>
      </c>
      <c r="AM10" s="37">
        <f>($E$89&gt;Q89)+($G$89&gt;Q89)+($I$89&gt;Q89)+($K$89&gt;Q89)+($M$89&gt;Q89)+($O$89&gt;Q89)+($Q$89&gt;Q89)+($S$89&gt;Q89)+1</f>
        <v>1</v>
      </c>
      <c r="AN10" s="37">
        <f>($E$116&gt;Q116)+($G$116&gt;Q116)+($I$116&gt;Q116)+($K$116&gt;Q116)+($M$116&gt;Q116)+($O$116&gt;Q116)+($Q$116&gt;Q116)+($S$116&gt;Q116)+1</f>
        <v>1</v>
      </c>
    </row>
    <row r="11" spans="1:40" x14ac:dyDescent="0.3">
      <c r="A11" s="7"/>
      <c r="B11" s="8"/>
      <c r="C11" s="4" t="s">
        <v>15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25" t="str" cm="1">
        <f t="array" ref="T11">_xlfn.IFS(S11=8,1,S11=7,2,S11=6,3,S11=5,4,S11=4,5,S11=3,6,S11=2,7,S11=1,8,S10&lt;$D$10,"Too Fast",S10="DQ","DQ")</f>
        <v>Too Fast</v>
      </c>
      <c r="U11" s="31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37">
        <f>S116</f>
        <v>0</v>
      </c>
      <c r="AJ11" s="37">
        <f>($E$26&gt;S26)+($G$26&gt;S26)+($I$26&gt;S26)+($K$26&gt;S26)+($M$26&gt;S26)+($O$26&gt;S26)+($Q$26&gt;S26)+($S$26&gt;S26)+1</f>
        <v>1</v>
      </c>
      <c r="AK11" s="37">
        <f>($E$47&gt;S47)+($G$47&gt;S47)+($I$47&gt;S47)+($K$47&gt;S47)+($M$47&gt;S47)+($O$47&gt;S47)+($Q$47&gt;S47)+($S$47&gt;S47)+1</f>
        <v>1</v>
      </c>
      <c r="AL11" s="37">
        <f>($E$68&gt;S68)+($G$68&gt;S68)+($I$68&gt;S68)+($K$68&gt;S68)+($M$68&gt;S68)+($O$68&gt;S68)+($Q$68&gt;S68)+($S$68&gt;S68)+1</f>
        <v>1</v>
      </c>
      <c r="AM11" s="37">
        <f>($E$89&gt;S89)+($G$89&gt;S89)+($I$89&gt;S89)+($K$89&gt;S89)+($M$89&gt;S89)+($O$89&gt;S89)+($Q$89&gt;S89)+($S$89&gt;S89)+1</f>
        <v>1</v>
      </c>
      <c r="AN11" s="37">
        <f>($E$116&gt;S116)+($G$116&gt;S116)+($I$116&gt;S116)+($K$116&gt;S116)+($M$116&gt;S116)+($O$116&gt;S116)+($Q$116&gt;S116)+($S$116&gt;S116)+1</f>
        <v>1</v>
      </c>
    </row>
    <row r="12" spans="1:40" x14ac:dyDescent="0.3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1"/>
      <c r="U12" s="28"/>
    </row>
    <row r="13" spans="1:40" x14ac:dyDescent="0.3">
      <c r="A13" s="7"/>
      <c r="B13" s="8"/>
      <c r="C13" s="4" t="s">
        <v>15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25" t="str" cm="1">
        <f t="array" ref="T13">_xlfn.IFS(S13=8,1,S13=7,2,S13=6,3,S13=5,4,S13=4,5,S13=3,6,S13=2,7,S13=1,8,S12&lt;$D$12,"Too Fast",S12="DQ","DQ")</f>
        <v>Too Fast</v>
      </c>
      <c r="U13" s="31" t="b">
        <v>0</v>
      </c>
    </row>
    <row r="14" spans="1:40" x14ac:dyDescent="0.3">
      <c r="A14" s="5">
        <v>5</v>
      </c>
      <c r="B14" s="10" t="s">
        <v>97</v>
      </c>
      <c r="C14" s="2" t="s">
        <v>35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1"/>
      <c r="U14" s="28"/>
    </row>
    <row r="15" spans="1:40" x14ac:dyDescent="0.3">
      <c r="A15" s="7"/>
      <c r="B15" s="8"/>
      <c r="C15" s="4" t="s">
        <v>15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25" t="str" cm="1">
        <f t="array" ref="T15">_xlfn.IFS(S15=8,1,S15=7,2,S15=6,3,S15=5,4,S15=4,5,S15=3,6,S15=2,7,S15=1,8,S14&lt;$D$14,"Too Fast",S14="DQ","DQ")</f>
        <v>Too Fast</v>
      </c>
      <c r="U15" s="31" t="b">
        <v>0</v>
      </c>
    </row>
    <row r="16" spans="1:40" x14ac:dyDescent="0.3">
      <c r="A16" s="5">
        <v>6</v>
      </c>
      <c r="B16" s="10" t="s">
        <v>98</v>
      </c>
      <c r="C16" s="2" t="s">
        <v>35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1"/>
      <c r="U16" s="28"/>
    </row>
    <row r="17" spans="1:21" x14ac:dyDescent="0.3">
      <c r="A17" s="7"/>
      <c r="B17" s="8"/>
      <c r="C17" s="4" t="s">
        <v>15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25" t="str" cm="1">
        <f t="array" ref="T17">_xlfn.IFS(S17=8,1,S17=7,2,S17=6,3,S17=5,4,S17=4,5,S17=3,6,S17=2,7,S17=1,8,S16&lt;$D$16,"Too Fast",S16="DQ","DQ")</f>
        <v>Too Fast</v>
      </c>
      <c r="U17" s="31" t="b">
        <v>0</v>
      </c>
    </row>
    <row r="18" spans="1:21" x14ac:dyDescent="0.3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1"/>
      <c r="U18" s="28"/>
    </row>
    <row r="19" spans="1:21" x14ac:dyDescent="0.3">
      <c r="A19" s="7"/>
      <c r="B19" s="8"/>
      <c r="C19" s="4" t="s">
        <v>15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25" t="str" cm="1">
        <f t="array" ref="T19">_xlfn.IFS(S19=8,1,S19=7,2,S19=6,3,S19=5,4,S19=4,5,S19=3,6,S19=2,7,S19=1,8,S18&lt;$D$18,"Too Fast",S18="DQ","DQ")</f>
        <v>Too Fast</v>
      </c>
      <c r="U19" s="31" t="b">
        <v>0</v>
      </c>
    </row>
    <row r="20" spans="1:21" x14ac:dyDescent="0.3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1"/>
      <c r="U20" s="28"/>
    </row>
    <row r="21" spans="1:21" x14ac:dyDescent="0.3">
      <c r="A21" s="7"/>
      <c r="B21" s="8"/>
      <c r="C21" s="4" t="s">
        <v>15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25" t="str" cm="1">
        <f t="array" ref="T21">_xlfn.IFS(S21=8,1,S21=7,2,S21=6,3,S21=5,4,S21=4,5,S21=3,6,S21=2,7,S21=1,8,S20&lt;$D$20,"Too Fast",S20="DQ","DQ")</f>
        <v>Too Fast</v>
      </c>
      <c r="U21" s="31" t="b">
        <v>0</v>
      </c>
    </row>
    <row r="22" spans="1:21" x14ac:dyDescent="0.3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1"/>
      <c r="U22" s="28"/>
    </row>
    <row r="23" spans="1:21" x14ac:dyDescent="0.3">
      <c r="A23" s="7"/>
      <c r="B23" s="8"/>
      <c r="C23" s="4" t="s">
        <v>15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25" t="str" cm="1">
        <f t="array" ref="T23">_xlfn.IFS(S23=8,1,S23=7,2,S23=6,3,S23=5,4,S23=4,5,S23=3,6,S23=2,7,S23=1,8,S22&lt;$D$22,"Too Fast",S22="DQ","DQ")</f>
        <v>Too Fast</v>
      </c>
      <c r="U23" s="31" t="b">
        <v>0</v>
      </c>
    </row>
    <row r="24" spans="1:21" x14ac:dyDescent="0.3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1"/>
      <c r="U24" s="28"/>
    </row>
    <row r="25" spans="1:21" x14ac:dyDescent="0.3">
      <c r="A25" s="7"/>
      <c r="B25" s="8"/>
      <c r="C25" s="4" t="s">
        <v>15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25" t="str" cm="1">
        <f t="array" ref="T25">_xlfn.IFS(S25=8,1,S25=7,2,S25=6,3,S25=5,4,S25=4,5,S25=3,6,S25=2,7,S25=1,8,S24&lt;$D$24,"Too Fast",S24="DQ","DQ")</f>
        <v>Too Fast</v>
      </c>
      <c r="U25" s="31" t="b">
        <v>0</v>
      </c>
    </row>
    <row r="26" spans="1:21" x14ac:dyDescent="0.3">
      <c r="A26" s="2"/>
      <c r="B26" s="12" t="s">
        <v>39</v>
      </c>
      <c r="C26" s="4" t="s">
        <v>15</v>
      </c>
      <c r="D26" s="16"/>
      <c r="E26" s="13">
        <f>E7+E9+E11+E13+E15+E17+E19+E21+E23+E25</f>
        <v>0</v>
      </c>
      <c r="F26" s="35"/>
      <c r="G26" s="13">
        <f t="shared" ref="G26:K26" si="70">G7+G9+G11+G13+G15+G17+G19+G21+G23+G25</f>
        <v>0</v>
      </c>
      <c r="H26" s="35"/>
      <c r="I26" s="13">
        <f t="shared" si="70"/>
        <v>0</v>
      </c>
      <c r="J26" s="35"/>
      <c r="K26" s="13">
        <f t="shared" si="70"/>
        <v>0</v>
      </c>
      <c r="L26" s="34"/>
      <c r="M26" s="13">
        <f t="shared" ref="M26" si="71">M7+M9+M11+M13+M15+M17+M19+M21+M23+M25</f>
        <v>0</v>
      </c>
      <c r="N26" s="34"/>
      <c r="O26" s="13">
        <f t="shared" ref="O26" si="72">O7+O9+O11+O13+O15+O17+O19+O21+O23+O25</f>
        <v>0</v>
      </c>
      <c r="P26" s="34"/>
      <c r="Q26" s="13">
        <f t="shared" ref="Q26" si="73">Q7+Q9+Q11+Q13+Q15+Q17+Q19+Q21+Q23+Q25</f>
        <v>0</v>
      </c>
      <c r="R26" s="34"/>
      <c r="S26" s="13">
        <f t="shared" ref="S26" si="74">S7+S9+S11+S13+S15+S17+S19+S21+S23+S25</f>
        <v>0</v>
      </c>
      <c r="T26" s="36"/>
      <c r="U26" s="28"/>
    </row>
    <row r="27" spans="1:21" x14ac:dyDescent="0.3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1"/>
      <c r="U27" s="28"/>
    </row>
    <row r="28" spans="1:21" x14ac:dyDescent="0.3">
      <c r="A28" s="7"/>
      <c r="B28" s="8"/>
      <c r="C28" s="4" t="s">
        <v>15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25" t="str" cm="1">
        <f t="array" ref="T28">_xlfn.IFS(S28=8,1,S28=7,2,S28=6,3,S28=5,4,S28=4,5,S28=3,6,S28=2,7,S28=1,8,S27&lt;$D$27,"Too Fast",S27="DQ","DQ")</f>
        <v>Too Fast</v>
      </c>
      <c r="U28" s="31" t="b">
        <v>0</v>
      </c>
    </row>
    <row r="29" spans="1:21" x14ac:dyDescent="0.3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1"/>
      <c r="H29" s="42"/>
      <c r="I29" s="41"/>
      <c r="J29" s="42"/>
      <c r="K29" s="41"/>
      <c r="L29" s="42"/>
      <c r="M29" s="41"/>
      <c r="N29" s="42"/>
      <c r="O29" s="41"/>
      <c r="P29" s="42"/>
      <c r="Q29" s="41"/>
      <c r="R29" s="42"/>
      <c r="S29" s="41"/>
      <c r="T29" s="43"/>
      <c r="U29" s="28"/>
    </row>
    <row r="30" spans="1:21" x14ac:dyDescent="0.3">
      <c r="A30" s="7"/>
      <c r="B30" s="8"/>
      <c r="C30" s="4" t="s">
        <v>15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25" t="str" cm="1">
        <f t="array" ref="T30">_xlfn.IFS(S30=8,1,S30=7,2,S30=6,3,S30=5,4,S30=4,5,S30=3,6,S30=2,7,S30=1,8,S29&lt;$D$29,"Too Fast",S29="DQ","DQ")</f>
        <v>Too Fast</v>
      </c>
      <c r="U30" s="31" t="b">
        <v>0</v>
      </c>
    </row>
    <row r="31" spans="1:21" x14ac:dyDescent="0.3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42"/>
      <c r="S31" s="41"/>
      <c r="T31" s="43"/>
      <c r="U31" s="28"/>
    </row>
    <row r="32" spans="1:21" x14ac:dyDescent="0.3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25" t="str" cm="1">
        <f t="array" ref="T32">_xlfn.IFS(S32=8,1,S32=7,2,S32=6,3,S32=5,4,S32=4,5,S32=3,6,S32=2,7,S32=1,8,S31&lt;$D$31,"Too Fast",S31="DQ","DQ")</f>
        <v>Too Fast</v>
      </c>
      <c r="U32" s="31" t="b">
        <v>0</v>
      </c>
    </row>
    <row r="33" spans="1:34" x14ac:dyDescent="0.3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1"/>
      <c r="U33" s="28"/>
    </row>
    <row r="34" spans="1:34" x14ac:dyDescent="0.3">
      <c r="A34" s="7"/>
      <c r="B34" s="8"/>
      <c r="C34" s="4" t="s">
        <v>15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25" t="str" cm="1">
        <f t="array" ref="T34">_xlfn.IFS(S34=8,1,S34=7,2,S34=6,3,S34=5,4,S34=4,5,S34=3,6,S34=2,7,S34=1,8,S33&lt;$D$33,"Too Fast",S33="DQ","DQ")</f>
        <v>Too Fast</v>
      </c>
      <c r="U34" s="31" t="b">
        <v>0</v>
      </c>
    </row>
    <row r="35" spans="1:34" x14ac:dyDescent="0.3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1"/>
      <c r="U35" s="28"/>
    </row>
    <row r="36" spans="1:34" x14ac:dyDescent="0.3">
      <c r="A36" s="7"/>
      <c r="B36" s="8"/>
      <c r="C36" s="4" t="s">
        <v>15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25" t="str" cm="1">
        <f t="array" ref="T36">_xlfn.IFS(S36=8,1,S36=7,2,S36=6,3,S36=5,4,S36=4,5,S36=3,6,S36=2,7,S36=1,8,S35&lt;$D$35,"Too Fast",S35="DQ","DQ")</f>
        <v>Too Fast</v>
      </c>
      <c r="U36" s="31" t="b">
        <v>0</v>
      </c>
    </row>
    <row r="37" spans="1:34" x14ac:dyDescent="0.3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1"/>
      <c r="U37" s="28"/>
    </row>
    <row r="38" spans="1:34" x14ac:dyDescent="0.3">
      <c r="A38" s="7"/>
      <c r="B38" s="8"/>
      <c r="C38" s="4" t="s">
        <v>15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25" t="str" cm="1">
        <f t="array" ref="T38">_xlfn.IFS(S38=8,1,S38=7,2,S38=6,3,S38=5,4,S38=4,5,S38=3,6,S38=2,7,S38=1,8,S37&lt;$D$37,"Too Fast",S37="DQ","DQ")</f>
        <v>Too Fast</v>
      </c>
      <c r="U38" s="31" t="b">
        <v>0</v>
      </c>
    </row>
    <row r="39" spans="1:34" x14ac:dyDescent="0.3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1"/>
      <c r="U39" s="28"/>
    </row>
    <row r="40" spans="1:34" x14ac:dyDescent="0.3">
      <c r="A40" s="7"/>
      <c r="B40" s="8"/>
      <c r="C40" s="4" t="s">
        <v>15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25" t="str" cm="1">
        <f t="array" ref="T40">_xlfn.IFS(S40=8,1,S40=7,2,S40=6,3,S40=5,4,S40=4,5,S40=3,6,S40=2,7,S40=1,8,S39&lt;$D$39,"Too Fast",S39="DQ","DQ")</f>
        <v>Too Fast</v>
      </c>
      <c r="U40" s="31" t="b">
        <v>0</v>
      </c>
    </row>
    <row r="41" spans="1:34" x14ac:dyDescent="0.3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1"/>
      <c r="U41" s="28"/>
    </row>
    <row r="42" spans="1:34" x14ac:dyDescent="0.3">
      <c r="A42" s="7"/>
      <c r="B42" s="8"/>
      <c r="C42" s="4" t="s">
        <v>15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25" t="str" cm="1">
        <f t="array" ref="T42">_xlfn.IFS(S42=8,1,S42=7,2,S42=6,3,S42=5,4,S42=4,5,S42=3,6,S42=2,7,S42=1,8,S41&lt;$D$41,"Too Fast",S41="DQ","DQ")</f>
        <v>Too Fast</v>
      </c>
      <c r="U42" s="31" t="b">
        <v>0</v>
      </c>
    </row>
    <row r="43" spans="1:34" x14ac:dyDescent="0.3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1"/>
      <c r="U43" s="28"/>
    </row>
    <row r="44" spans="1:34" x14ac:dyDescent="0.3">
      <c r="A44" s="7"/>
      <c r="B44" s="8"/>
      <c r="C44" s="4" t="s">
        <v>15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25" t="str" cm="1">
        <f t="array" ref="T44">_xlfn.IFS(S44=8,1,S44=7,2,S44=6,3,S44=5,4,S44=4,5,S44=3,6,S44=2,7,S44=1,8,S43&lt;$D$43,"Too Fast",S43="DQ","DQ")</f>
        <v>Too Fast</v>
      </c>
      <c r="U44" s="31" t="b">
        <v>0</v>
      </c>
    </row>
    <row r="45" spans="1:34" x14ac:dyDescent="0.3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1"/>
      <c r="U45" s="28"/>
    </row>
    <row r="46" spans="1:34" x14ac:dyDescent="0.3">
      <c r="A46" s="7"/>
      <c r="B46" s="8"/>
      <c r="C46" s="4" t="s">
        <v>15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25" t="str" cm="1">
        <f t="array" ref="T46">_xlfn.IFS(S46=8,1,S46=7,2,S46=6,3,S46=5,4,S46=4,5,S46=3,6,S46=2,7,S46=1,8,S45&lt;$D$45,"Too Fast",S45="DQ","DQ")</f>
        <v>Too Fast</v>
      </c>
      <c r="U46" s="31" t="b">
        <v>0</v>
      </c>
      <c r="AA46" s="23"/>
    </row>
    <row r="47" spans="1:34" x14ac:dyDescent="0.3">
      <c r="A47" s="2"/>
      <c r="B47" s="12" t="s">
        <v>50</v>
      </c>
      <c r="C47" s="4" t="s">
        <v>15</v>
      </c>
      <c r="D47" s="16"/>
      <c r="E47" s="19">
        <f>E26+E28+E30+E32+E34+E36+E38+E40+E42+E44+E46</f>
        <v>0</v>
      </c>
      <c r="F47" s="37"/>
      <c r="G47" s="19">
        <f t="shared" ref="G47:K47" si="131">G26+G28+G30+G32+G34+G36+G38+G40+G42+G44+G46</f>
        <v>0</v>
      </c>
      <c r="H47" s="37"/>
      <c r="I47" s="19">
        <f t="shared" si="131"/>
        <v>0</v>
      </c>
      <c r="J47" s="37"/>
      <c r="K47" s="19">
        <f t="shared" si="131"/>
        <v>0</v>
      </c>
      <c r="L47" s="34"/>
      <c r="M47" s="19">
        <f t="shared" ref="M47" si="132">M26+M28+M30+M32+M34+M36+M38+M40+M42+M44+M46</f>
        <v>0</v>
      </c>
      <c r="N47" s="34"/>
      <c r="O47" s="19">
        <f t="shared" ref="O47" si="133">O26+O28+O30+O32+O34+O36+O38+O40+O42+O44+O46</f>
        <v>0</v>
      </c>
      <c r="P47" s="34"/>
      <c r="Q47" s="19">
        <f t="shared" ref="Q47" si="134">Q26+Q28+Q30+Q32+Q34+Q36+Q38+Q40+Q42+Q44+Q46</f>
        <v>0</v>
      </c>
      <c r="R47" s="34"/>
      <c r="S47" s="19">
        <f t="shared" ref="S47" si="135">S26+S28+S30+S32+S34+S36+S38+S40+S42+S44+S46</f>
        <v>0</v>
      </c>
      <c r="T47" s="36"/>
      <c r="U47" s="2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3">
      <c r="A48" s="5">
        <v>21</v>
      </c>
      <c r="B48" s="10" t="s">
        <v>99</v>
      </c>
      <c r="C48" s="2" t="s">
        <v>35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1"/>
      <c r="U48" s="28"/>
      <c r="Z48" s="24"/>
    </row>
    <row r="49" spans="1:26" x14ac:dyDescent="0.3">
      <c r="A49" s="7"/>
      <c r="B49" s="8"/>
      <c r="C49" s="4" t="s">
        <v>15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25" t="str" cm="1">
        <f t="array" ref="T49">_xlfn.IFS(S49=8,1,S49=7,2,S49=6,3,S49=5,4,S49=4,5,S49=3,6,S49=2,7,S49=1,8,S48&lt;$D$48,"Too Fast",S48="DQ","DQ")</f>
        <v>Too Fast</v>
      </c>
      <c r="U49" s="31" t="b">
        <v>0</v>
      </c>
      <c r="Z49" s="24"/>
    </row>
    <row r="50" spans="1:26" x14ac:dyDescent="0.3">
      <c r="A50" s="5">
        <v>22</v>
      </c>
      <c r="B50" s="10" t="s">
        <v>100</v>
      </c>
      <c r="C50" s="2" t="s">
        <v>35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1"/>
      <c r="U50" s="28"/>
      <c r="Z50" s="24"/>
    </row>
    <row r="51" spans="1:26" x14ac:dyDescent="0.3">
      <c r="A51" s="7"/>
      <c r="B51" s="8"/>
      <c r="C51" s="4" t="s">
        <v>15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25" t="str" cm="1">
        <f t="array" ref="T51">_xlfn.IFS(S51=8,1,S51=7,2,S51=6,3,S51=5,4,S51=4,5,S51=3,6,S51=2,7,S51=1,8,S50&lt;$D$50,"Too Fast",S50="DQ","DQ")</f>
        <v>Too Fast</v>
      </c>
      <c r="U51" s="31" t="b">
        <v>0</v>
      </c>
      <c r="Z51" s="24"/>
    </row>
    <row r="52" spans="1:26" x14ac:dyDescent="0.3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1"/>
      <c r="U52" s="28"/>
      <c r="Z52" s="24"/>
    </row>
    <row r="53" spans="1:26" x14ac:dyDescent="0.3">
      <c r="A53" s="7"/>
      <c r="B53" s="8"/>
      <c r="C53" s="4" t="s">
        <v>15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25" t="str" cm="1">
        <f t="array" ref="T53">_xlfn.IFS(S53=8,1,S53=7,2,S53=6,3,S53=5,4,S53=4,5,S53=3,6,S53=2,7,S53=1,8,S52&lt;$D$52,"Too Fast",S52="DQ","DQ")</f>
        <v>Too Fast</v>
      </c>
      <c r="U53" s="31" t="b">
        <v>0</v>
      </c>
      <c r="Z53" s="24"/>
    </row>
    <row r="54" spans="1:26" x14ac:dyDescent="0.3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1"/>
      <c r="U54" s="28"/>
      <c r="Z54" s="24"/>
    </row>
    <row r="55" spans="1:26" x14ac:dyDescent="0.3">
      <c r="A55" s="7"/>
      <c r="B55" s="8"/>
      <c r="C55" s="4" t="s">
        <v>15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25" t="str" cm="1">
        <f t="array" ref="T55">_xlfn.IFS(S55=8,1,S55=7,2,S55=6,3,S55=5,4,S55=4,5,S55=3,6,S55=2,7,S55=1,8,S54&lt;$D$54,"Too Fast",S54="DQ","DQ")</f>
        <v>Too Fast</v>
      </c>
      <c r="U55" s="31" t="b">
        <v>0</v>
      </c>
      <c r="Z55" s="24"/>
    </row>
    <row r="56" spans="1:26" x14ac:dyDescent="0.3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1"/>
      <c r="U56" s="28"/>
      <c r="Z56" s="24"/>
    </row>
    <row r="57" spans="1:26" x14ac:dyDescent="0.3">
      <c r="A57" s="7"/>
      <c r="B57" s="8"/>
      <c r="C57" s="4" t="s">
        <v>15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25" t="str" cm="1">
        <f t="array" ref="T57">_xlfn.IFS(S57=8,1,S57=7,2,S57=6,3,S57=5,4,S57=4,5,S57=3,6,S57=2,7,S57=1,8,S56&lt;$D$56,"Too Fast",S56="DQ","DQ")</f>
        <v>Too Fast</v>
      </c>
      <c r="U57" s="31" t="b">
        <v>0</v>
      </c>
      <c r="Z57" s="24"/>
    </row>
    <row r="58" spans="1:26" x14ac:dyDescent="0.3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1"/>
      <c r="U58" s="28"/>
      <c r="Z58" s="24"/>
    </row>
    <row r="59" spans="1:26" x14ac:dyDescent="0.3">
      <c r="A59" s="7"/>
      <c r="B59" s="8"/>
      <c r="C59" s="4" t="s">
        <v>15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25" t="str" cm="1">
        <f t="array" ref="T59">_xlfn.IFS(S59=8,1,S59=7,2,S59=6,3,S59=5,4,S59=4,5,S59=3,6,S59=2,7,S59=1,8,S58&lt;$D$58,"Too Fast",S58="DQ","DQ")</f>
        <v>Too Fast</v>
      </c>
      <c r="U59" s="31" t="b">
        <v>0</v>
      </c>
      <c r="Z59" s="24"/>
    </row>
    <row r="60" spans="1:26" x14ac:dyDescent="0.3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1"/>
      <c r="U60" s="28"/>
      <c r="Z60" s="24"/>
    </row>
    <row r="61" spans="1:26" x14ac:dyDescent="0.3">
      <c r="A61" s="7"/>
      <c r="B61" s="8"/>
      <c r="C61" s="4" t="s">
        <v>15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25" t="str" cm="1">
        <f t="array" ref="T61">_xlfn.IFS(S61=8,1,S61=7,2,S61=6,3,S61=5,4,S61=4,5,S61=3,6,S61=2,7,S61=1,8,S60&lt;$D$60,"Too Fast",S60="DQ","DQ")</f>
        <v>Too Fast</v>
      </c>
      <c r="U61" s="31" t="b">
        <v>0</v>
      </c>
      <c r="Z61" s="24"/>
    </row>
    <row r="62" spans="1:26" x14ac:dyDescent="0.3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1"/>
      <c r="U62" s="28"/>
      <c r="Z62" s="24"/>
    </row>
    <row r="63" spans="1:26" x14ac:dyDescent="0.3">
      <c r="A63" s="7"/>
      <c r="B63" s="8"/>
      <c r="C63" s="4" t="s">
        <v>15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25" t="str" cm="1">
        <f t="array" ref="T63">_xlfn.IFS(S63=8,1,S63=7,2,S63=6,3,S63=5,4,S63=4,5,S63=3,6,S63=2,7,S63=1,8,S62&lt;$D$62,"Too Fast",S62="DQ","DQ")</f>
        <v>Too Fast</v>
      </c>
      <c r="U63" s="31" t="b">
        <v>0</v>
      </c>
      <c r="Z63" s="24"/>
    </row>
    <row r="64" spans="1:26" x14ac:dyDescent="0.3">
      <c r="A64" s="5">
        <v>29</v>
      </c>
      <c r="B64" s="10" t="s">
        <v>101</v>
      </c>
      <c r="C64" s="2" t="s">
        <v>35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1"/>
      <c r="U64" s="28"/>
      <c r="Z64" s="24"/>
    </row>
    <row r="65" spans="1:26" x14ac:dyDescent="0.3">
      <c r="A65" s="7"/>
      <c r="B65" s="8"/>
      <c r="C65" s="4" t="s">
        <v>15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25" t="str" cm="1">
        <f t="array" ref="T65">_xlfn.IFS(S65=8,1,S65=7,2,S65=6,3,S65=5,4,S65=4,5,S65=3,6,S65=2,7,S65=1,8,S64&lt;$D$64,"Too Fast",S64="DQ","DQ")</f>
        <v>Too Fast</v>
      </c>
      <c r="U65" s="31" t="b">
        <v>0</v>
      </c>
      <c r="Z65" s="24"/>
    </row>
    <row r="66" spans="1:26" x14ac:dyDescent="0.3">
      <c r="A66" s="5">
        <v>30</v>
      </c>
      <c r="B66" s="10" t="s">
        <v>102</v>
      </c>
      <c r="C66" s="2" t="s">
        <v>35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1"/>
      <c r="U66" s="28"/>
      <c r="Z66" s="24"/>
    </row>
    <row r="67" spans="1:26" x14ac:dyDescent="0.3">
      <c r="A67" s="7"/>
      <c r="B67" s="8"/>
      <c r="C67" s="4" t="s">
        <v>15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25" t="str" cm="1">
        <f t="array" ref="T67">_xlfn.IFS(S67=8,1,S67=7,2,S67=6,3,S67=5,4,S67=4,5,S67=3,6,S67=2,7,S67=1,8,S66&lt;$D$66,"Too Fast",S66="DQ","DQ")</f>
        <v>Too Fast</v>
      </c>
      <c r="U67" s="31" t="b">
        <v>0</v>
      </c>
      <c r="Z67" s="24"/>
    </row>
    <row r="68" spans="1:26" x14ac:dyDescent="0.3">
      <c r="A68" s="2"/>
      <c r="B68" s="12" t="s">
        <v>62</v>
      </c>
      <c r="C68" s="4" t="s">
        <v>15</v>
      </c>
      <c r="D68" s="16"/>
      <c r="E68" s="19">
        <f>E47+E49+E51+E53+E55+E57+E59+E61+E63+E65+E67</f>
        <v>0</v>
      </c>
      <c r="F68" s="37"/>
      <c r="G68" s="19">
        <f t="shared" ref="G68:K68" si="199">G47+G49+G51+G53+G55+G57+G59+G61+G63+G65+G67</f>
        <v>0</v>
      </c>
      <c r="H68" s="37"/>
      <c r="I68" s="19">
        <f t="shared" si="199"/>
        <v>0</v>
      </c>
      <c r="J68" s="37"/>
      <c r="K68" s="19">
        <f t="shared" si="199"/>
        <v>0</v>
      </c>
      <c r="L68" s="34"/>
      <c r="M68" s="19">
        <f t="shared" ref="M68" si="200">M47+M49+M51+M53+M55+M57+M59+M61+M63+M65+M67</f>
        <v>0</v>
      </c>
      <c r="N68" s="34"/>
      <c r="O68" s="19">
        <f t="shared" ref="O68" si="201">O47+O49+O51+O53+O55+O57+O59+O61+O63+O65+O67</f>
        <v>0</v>
      </c>
      <c r="P68" s="34"/>
      <c r="Q68" s="19">
        <f t="shared" ref="Q68" si="202">Q47+Q49+Q51+Q53+Q55+Q57+Q59+Q61+Q63+Q65+Q67</f>
        <v>0</v>
      </c>
      <c r="R68" s="34"/>
      <c r="S68" s="19">
        <f t="shared" ref="S68" si="203">S47+S49+S51+S53+S55+S57+S59+S61+S63+S65+S67</f>
        <v>0</v>
      </c>
      <c r="T68" s="36"/>
      <c r="U68" s="28"/>
      <c r="Z68" s="24"/>
    </row>
    <row r="69" spans="1:26" x14ac:dyDescent="0.3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2"/>
      <c r="Q69" s="41"/>
      <c r="R69" s="42"/>
      <c r="S69" s="41"/>
      <c r="T69" s="43"/>
      <c r="U69" s="28"/>
      <c r="Z69" s="24"/>
    </row>
    <row r="70" spans="1:26" x14ac:dyDescent="0.3">
      <c r="A70" s="7"/>
      <c r="B70" s="8"/>
      <c r="C70" s="4" t="s">
        <v>15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25" t="str" cm="1">
        <f t="array" ref="T70">_xlfn.IFS(S70=8,1,S70=7,2,S70=6,3,S70=5,4,S70=4,5,S70=3,6,S70=2,7,S70=1,8,S69&lt;$D$69,"Too Fast",S69="DQ","DQ")</f>
        <v>Too Fast</v>
      </c>
      <c r="U70" s="31" t="b">
        <v>0</v>
      </c>
      <c r="Z70" s="24"/>
    </row>
    <row r="71" spans="1:26" x14ac:dyDescent="0.3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2"/>
      <c r="Q71" s="41"/>
      <c r="R71" s="42"/>
      <c r="S71" s="41"/>
      <c r="T71" s="43"/>
      <c r="U71" s="28"/>
      <c r="Z71" s="24"/>
    </row>
    <row r="72" spans="1:26" x14ac:dyDescent="0.3">
      <c r="A72" s="7"/>
      <c r="B72" s="8"/>
      <c r="C72" s="4" t="s">
        <v>15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25" t="str" cm="1">
        <f t="array" ref="T72">_xlfn.IFS(S72=8,1,S72=7,2,S72=6,3,S72=5,4,S72=4,5,S72=3,6,S72=2,7,S72=1,8,S71&lt;$D$71,"Too Fast",S71="DQ","DQ")</f>
        <v>Too Fast</v>
      </c>
      <c r="U72" s="31" t="b">
        <v>0</v>
      </c>
      <c r="Z72" s="24"/>
    </row>
    <row r="73" spans="1:26" x14ac:dyDescent="0.3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2"/>
      <c r="Q73" s="41"/>
      <c r="R73" s="42"/>
      <c r="S73" s="41"/>
      <c r="T73" s="43"/>
      <c r="U73" s="28"/>
      <c r="Z73" s="24"/>
    </row>
    <row r="74" spans="1:26" x14ac:dyDescent="0.3">
      <c r="A74" s="7"/>
      <c r="B74" s="8"/>
      <c r="C74" s="4" t="s">
        <v>15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25" t="str" cm="1">
        <f t="array" ref="T74">_xlfn.IFS(S74=8,1,S74=7,2,S74=6,3,S74=5,4,S74=4,5,S74=3,6,S74=2,7,S74=1,8,S73&lt;$D$73,"Too Fast",S73="DQ","DQ")</f>
        <v>Too Fast</v>
      </c>
      <c r="U74" s="31" t="b">
        <v>0</v>
      </c>
      <c r="Z74" s="24"/>
    </row>
    <row r="75" spans="1:26" x14ac:dyDescent="0.3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2"/>
      <c r="Q75" s="41"/>
      <c r="R75" s="42"/>
      <c r="S75" s="41"/>
      <c r="T75" s="43"/>
      <c r="U75" s="28"/>
      <c r="Z75" s="24"/>
    </row>
    <row r="76" spans="1:26" x14ac:dyDescent="0.3">
      <c r="A76" s="7"/>
      <c r="B76" s="8"/>
      <c r="C76" s="4" t="s">
        <v>15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25" t="str" cm="1">
        <f t="array" ref="T76">_xlfn.IFS(S76=8,1,S76=7,2,S76=6,3,S76=5,4,S76=4,5,S76=3,6,S76=2,7,S76=1,8,S75&lt;$D$75,"Too Fast",S75="DQ","DQ")</f>
        <v>Too Fast</v>
      </c>
      <c r="U76" s="31" t="b">
        <v>0</v>
      </c>
      <c r="Z76" s="24"/>
    </row>
    <row r="77" spans="1:26" x14ac:dyDescent="0.3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2"/>
      <c r="Q77" s="41"/>
      <c r="R77" s="42"/>
      <c r="S77" s="41"/>
      <c r="T77" s="43"/>
      <c r="U77" s="28"/>
      <c r="Z77" s="24"/>
    </row>
    <row r="78" spans="1:26" x14ac:dyDescent="0.3">
      <c r="A78" s="7"/>
      <c r="B78" s="8"/>
      <c r="C78" s="4" t="s">
        <v>15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25" t="str" cm="1">
        <f t="array" ref="T78">_xlfn.IFS(S78=8,1,S78=7,2,S78=6,3,S78=5,4,S78=4,5,S78=3,6,S78=2,7,S78=1,8,S77&lt;$D$77,"Too Fast",S77="DQ","DQ")</f>
        <v>Too Fast</v>
      </c>
      <c r="U78" s="31" t="b">
        <v>0</v>
      </c>
    </row>
    <row r="79" spans="1:26" x14ac:dyDescent="0.3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2"/>
      <c r="Q79" s="41"/>
      <c r="R79" s="42"/>
      <c r="S79" s="41"/>
      <c r="T79" s="43"/>
      <c r="U79" s="28"/>
    </row>
    <row r="80" spans="1:26" x14ac:dyDescent="0.3">
      <c r="A80" s="7"/>
      <c r="B80" s="8"/>
      <c r="C80" s="4" t="s">
        <v>15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25" t="str" cm="1">
        <f t="array" ref="T80">_xlfn.IFS(S80=8,1,S80=7,2,S80=6,3,S80=5,4,S80=4,5,S80=3,6,S80=2,7,S80=1,8,S79&lt;$D$79,"Too Fast",S79="DQ","DQ")</f>
        <v>Too Fast</v>
      </c>
      <c r="U80" s="31" t="b">
        <v>0</v>
      </c>
    </row>
    <row r="81" spans="1:21" x14ac:dyDescent="0.3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2"/>
      <c r="Q81" s="41"/>
      <c r="R81" s="42"/>
      <c r="S81" s="41"/>
      <c r="T81" s="43"/>
      <c r="U81" s="28"/>
    </row>
    <row r="82" spans="1:21" x14ac:dyDescent="0.3">
      <c r="A82" s="7"/>
      <c r="B82" s="8"/>
      <c r="C82" s="4" t="s">
        <v>15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25" t="str" cm="1">
        <f t="array" ref="T82">_xlfn.IFS(S82=8,1,S82=7,2,S82=6,3,S82=5,4,S82=4,5,S82=3,6,S82=2,7,S82=1,8,S81&lt;$D$81,"Too Fast",S81="DQ","DQ")</f>
        <v>Too Fast</v>
      </c>
      <c r="U82" s="31" t="b">
        <v>0</v>
      </c>
    </row>
    <row r="83" spans="1:21" x14ac:dyDescent="0.3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2"/>
      <c r="Q83" s="41"/>
      <c r="R83" s="42"/>
      <c r="S83" s="41"/>
      <c r="T83" s="43"/>
      <c r="U83" s="28"/>
    </row>
    <row r="84" spans="1:21" x14ac:dyDescent="0.3">
      <c r="A84" s="7"/>
      <c r="B84" s="8"/>
      <c r="C84" s="4" t="s">
        <v>15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25" t="str" cm="1">
        <f t="array" ref="T84">_xlfn.IFS(S84=8,1,S84=7,2,S84=6,3,S84=5,4,S84=4,5,S84=3,6,S84=2,7,S84=1,8,S83&lt;$D$83,"Too Fast",S83="DQ","DQ")</f>
        <v>Too Fast</v>
      </c>
      <c r="U84" s="31" t="b">
        <v>0</v>
      </c>
    </row>
    <row r="85" spans="1:21" x14ac:dyDescent="0.3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2"/>
      <c r="Q85" s="41"/>
      <c r="R85" s="42"/>
      <c r="S85" s="41"/>
      <c r="T85" s="43"/>
      <c r="U85" s="28"/>
    </row>
    <row r="86" spans="1:21" x14ac:dyDescent="0.3">
      <c r="A86" s="7"/>
      <c r="B86" s="8"/>
      <c r="C86" s="4" t="s">
        <v>15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25" t="str" cm="1">
        <f t="array" ref="T86">_xlfn.IFS(S86=8,1,S86=7,2,S86=6,3,S86=5,4,S86=4,5,S86=3,6,S86=2,7,S86=1,8,S85&lt;$D$85,"Too Fast",S85="DQ","DQ")</f>
        <v>Too Fast</v>
      </c>
      <c r="U86" s="31" t="b">
        <v>0</v>
      </c>
    </row>
    <row r="87" spans="1:21" x14ac:dyDescent="0.3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2"/>
      <c r="Q87" s="41"/>
      <c r="R87" s="42"/>
      <c r="S87" s="41"/>
      <c r="T87" s="43"/>
      <c r="U87" s="28"/>
    </row>
    <row r="88" spans="1:21" x14ac:dyDescent="0.3">
      <c r="A88" s="7"/>
      <c r="B88" s="8"/>
      <c r="C88" s="4" t="s">
        <v>15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25" t="str" cm="1">
        <f t="array" ref="T88">_xlfn.IFS(S88=8,1,S88=7,2,S88=6,3,S88=5,4,S88=4,5,S88=3,6,S88=2,7,S88=1,8,S87&lt;$D$87,"Too Fast",S87="DQ","DQ")</f>
        <v>Too Fast</v>
      </c>
      <c r="U88" s="31" t="b">
        <v>0</v>
      </c>
    </row>
    <row r="89" spans="1:21" x14ac:dyDescent="0.3">
      <c r="A89" s="2"/>
      <c r="B89" s="12" t="s">
        <v>73</v>
      </c>
      <c r="C89" s="4" t="s">
        <v>15</v>
      </c>
      <c r="D89" s="16"/>
      <c r="E89" s="19">
        <f>E68+E70+E72+E74+E76+E78+E80+E82+E84+E86+E88</f>
        <v>0</v>
      </c>
      <c r="F89" s="37"/>
      <c r="G89" s="19">
        <f t="shared" ref="G89:K89" si="274">G68+G70+G72+G74+G76+G78+G80+G82+G84+G86+G88</f>
        <v>0</v>
      </c>
      <c r="H89" s="37"/>
      <c r="I89" s="19">
        <f t="shared" si="274"/>
        <v>0</v>
      </c>
      <c r="J89" s="37"/>
      <c r="K89" s="19">
        <f t="shared" si="274"/>
        <v>0</v>
      </c>
      <c r="L89" s="34"/>
      <c r="M89" s="19">
        <f t="shared" ref="M89" si="275">M68+M70+M72+M74+M76+M78+M80+M82+M84+M86+M88</f>
        <v>0</v>
      </c>
      <c r="N89" s="34"/>
      <c r="O89" s="19">
        <f t="shared" ref="O89" si="276">O68+O70+O72+O74+O76+O78+O80+O82+O84+O86+O88</f>
        <v>0</v>
      </c>
      <c r="P89" s="34"/>
      <c r="Q89" s="19">
        <f t="shared" ref="Q89" si="277">Q68+Q70+Q72+Q74+Q76+Q78+Q80+Q82+Q84+Q86+Q88</f>
        <v>0</v>
      </c>
      <c r="R89" s="34"/>
      <c r="S89" s="19">
        <f t="shared" ref="S89" si="278">S68+S70+S72+S74+S76+S78+S80+S82+S84+S86+S88</f>
        <v>0</v>
      </c>
      <c r="T89" s="36"/>
      <c r="U89" s="28"/>
    </row>
    <row r="90" spans="1:21" x14ac:dyDescent="0.3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2"/>
      <c r="Q90" s="41"/>
      <c r="R90" s="42"/>
      <c r="S90" s="41"/>
      <c r="T90" s="43"/>
      <c r="U90" s="28"/>
    </row>
    <row r="91" spans="1:21" x14ac:dyDescent="0.3">
      <c r="A91" s="7"/>
      <c r="B91" s="8"/>
      <c r="C91" s="4" t="s">
        <v>15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25" t="str" cm="1">
        <f t="array" ref="T91">_xlfn.IFS(S91=8,1,S91=7,2,S91=6,3,S91=5,4,S91=4,5,S91=3,6,S91=2,7,S91=1,8,S90&lt;$D$90,"Too Fast",S90="DQ","DQ")</f>
        <v>Too Fast</v>
      </c>
      <c r="U91" s="31" t="b">
        <v>0</v>
      </c>
    </row>
    <row r="92" spans="1:21" x14ac:dyDescent="0.3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2"/>
      <c r="Q92" s="41"/>
      <c r="R92" s="42"/>
      <c r="S92" s="41"/>
      <c r="T92" s="43"/>
      <c r="U92" s="28"/>
    </row>
    <row r="93" spans="1:21" x14ac:dyDescent="0.3">
      <c r="A93" s="7"/>
      <c r="B93" s="8"/>
      <c r="C93" s="4" t="s">
        <v>15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25" t="str" cm="1">
        <f t="array" ref="T93">_xlfn.IFS(S93=8,1,S93=7,2,S93=6,3,S93=5,4,S93=4,5,S93=3,6,S93=2,7,S93=1,8,S92&lt;$D$92,"Too Fast",S92="DQ","DQ")</f>
        <v>Too Fast</v>
      </c>
      <c r="U93" s="31" t="b">
        <v>0</v>
      </c>
    </row>
    <row r="94" spans="1:21" x14ac:dyDescent="0.3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2"/>
      <c r="Q94" s="41"/>
      <c r="R94" s="42"/>
      <c r="S94" s="41"/>
      <c r="T94" s="43"/>
      <c r="U94" s="28"/>
    </row>
    <row r="95" spans="1:21" x14ac:dyDescent="0.3">
      <c r="A95" s="8"/>
      <c r="B95" s="8"/>
      <c r="C95" s="4" t="s">
        <v>15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25" t="str" cm="1">
        <f t="array" ref="T95">_xlfn.IFS(S95=8,1,S95=7,2,S95=6,3,S95=5,4,S95=4,5,S95=3,6,S95=2,7,S95=1,8,S94&lt;$D$94,"Too Fast",S94="DQ","DQ")</f>
        <v>Too Fast</v>
      </c>
      <c r="U95" s="31" t="b">
        <v>0</v>
      </c>
    </row>
    <row r="96" spans="1:21" x14ac:dyDescent="0.3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2"/>
      <c r="Q96" s="41"/>
      <c r="R96" s="42"/>
      <c r="S96" s="41"/>
      <c r="T96" s="43"/>
      <c r="U96" s="28"/>
    </row>
    <row r="97" spans="1:21" x14ac:dyDescent="0.3">
      <c r="A97" s="7"/>
      <c r="B97" s="8"/>
      <c r="C97" s="4" t="s">
        <v>15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25" t="str" cm="1">
        <f t="array" ref="T97">_xlfn.IFS(S97=8,1,S97=7,2,S97=6,3,S97=5,4,S97=4,5,S97=3,6,S97=2,7,S97=1,8,S96&lt;$D$96,"Too Fast",S96="DQ","DQ")</f>
        <v>Too Fast</v>
      </c>
      <c r="U97" s="31" t="b">
        <v>0</v>
      </c>
    </row>
    <row r="98" spans="1:21" x14ac:dyDescent="0.3">
      <c r="A98" s="5">
        <v>45</v>
      </c>
      <c r="B98" s="10" t="s">
        <v>103</v>
      </c>
      <c r="C98" s="2" t="s">
        <v>35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2"/>
      <c r="Q98" s="41"/>
      <c r="R98" s="42"/>
      <c r="S98" s="41"/>
      <c r="T98" s="43"/>
      <c r="U98" s="28"/>
    </row>
    <row r="99" spans="1:21" x14ac:dyDescent="0.3">
      <c r="A99" s="7"/>
      <c r="B99" s="8"/>
      <c r="C99" s="4" t="s">
        <v>15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25" t="str" cm="1">
        <f t="array" ref="T99">_xlfn.IFS(S99=4,1,S99=3,2,S99=2,3,S99=1,4,S98&lt;$D$98,"Too Fast",S98="DQ","DQ")</f>
        <v>Too Fast</v>
      </c>
      <c r="U99" s="31" t="b">
        <v>0</v>
      </c>
    </row>
    <row r="100" spans="1:21" x14ac:dyDescent="0.3">
      <c r="A100" s="5">
        <v>46</v>
      </c>
      <c r="B100" s="10" t="s">
        <v>104</v>
      </c>
      <c r="C100" s="2" t="s">
        <v>35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2"/>
      <c r="Q100" s="41"/>
      <c r="R100" s="42"/>
      <c r="S100" s="41"/>
      <c r="T100" s="43"/>
      <c r="U100" s="28"/>
    </row>
    <row r="101" spans="1:21" x14ac:dyDescent="0.3">
      <c r="A101" s="8"/>
      <c r="B101" s="8"/>
      <c r="C101" s="4" t="s">
        <v>15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25" t="str" cm="1">
        <f t="array" ref="T101">_xlfn.IFS(S101=8,1,S101=7,2,S101=6,3,S101=5,4,S101=4,5,S101=3,6,S101=2,7,S101=1,8,S100&lt;$D$100,"Too Fast",S100="DQ","DQ")</f>
        <v>Too Fast</v>
      </c>
      <c r="U101" s="31" t="b">
        <v>0</v>
      </c>
    </row>
    <row r="102" spans="1:21" x14ac:dyDescent="0.3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2"/>
      <c r="Q102" s="41"/>
      <c r="R102" s="42"/>
      <c r="S102" s="41"/>
      <c r="T102" s="43"/>
      <c r="U102" s="28"/>
    </row>
    <row r="103" spans="1:21" x14ac:dyDescent="0.3">
      <c r="A103" s="7"/>
      <c r="B103" s="8"/>
      <c r="C103" s="4" t="s">
        <v>15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25" t="str" cm="1">
        <f t="array" ref="T103">_xlfn.IFS(S103=8,1,S103=7,2,S103=6,3,S103=5,4,S103=4,5,S103=3,6,S103=2,7,S103=1,8,S102&lt;$D$102,"Too Fast",S102="DQ","DQ")</f>
        <v>Too Fast</v>
      </c>
      <c r="U103" s="31" t="b">
        <v>0</v>
      </c>
    </row>
    <row r="104" spans="1:21" x14ac:dyDescent="0.3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2"/>
      <c r="Q104" s="41"/>
      <c r="R104" s="42"/>
      <c r="S104" s="41"/>
      <c r="T104" s="43"/>
      <c r="U104" s="28"/>
    </row>
    <row r="105" spans="1:21" x14ac:dyDescent="0.3">
      <c r="A105" s="7"/>
      <c r="B105" s="8"/>
      <c r="C105" s="4" t="s">
        <v>15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25" t="str" cm="1">
        <f t="array" ref="T105">_xlfn.IFS(S105=8,1,S105=7,2,S105=6,3,S105=5,4,S105=4,5,S105=3,6,S105=2,7,S105=1,8,S104&lt;$D$104,"Too Fast",S104="DQ","DQ")</f>
        <v>Too Fast</v>
      </c>
      <c r="U105" s="31" t="b">
        <v>0</v>
      </c>
    </row>
    <row r="106" spans="1:21" x14ac:dyDescent="0.3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2"/>
      <c r="Q106" s="41"/>
      <c r="R106" s="42"/>
      <c r="S106" s="41"/>
      <c r="T106" s="43"/>
      <c r="U106" s="28"/>
    </row>
    <row r="107" spans="1:21" x14ac:dyDescent="0.3">
      <c r="A107" s="8"/>
      <c r="B107" s="8"/>
      <c r="C107" s="4" t="s">
        <v>15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25" t="str" cm="1">
        <f t="array" ref="T107">_xlfn.IFS(S107=8,1,S107=7,2,S107=6,3,S107=5,4,S107=4,5,S107=3,6,S107=2,7,S107=1,8,S106&lt;$D$106,"Too Fast",S106="DQ","DQ")</f>
        <v>Too Fast</v>
      </c>
      <c r="U107" s="31" t="b">
        <v>0</v>
      </c>
    </row>
    <row r="108" spans="1:21" x14ac:dyDescent="0.3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2"/>
      <c r="Q108" s="41"/>
      <c r="R108" s="42"/>
      <c r="S108" s="41"/>
      <c r="T108" s="43"/>
      <c r="U108" s="28"/>
    </row>
    <row r="109" spans="1:21" x14ac:dyDescent="0.3">
      <c r="A109" s="7"/>
      <c r="B109" s="8"/>
      <c r="C109" s="4" t="s">
        <v>15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25" t="str" cm="1">
        <f t="array" ref="T109">_xlfn.IFS(S109=8,1,S109=7,2,S109=6,3,S109=5,4,S109=4,5,S109=3,6,S109=2,7,S109=1,8,S108&lt;$D$108,"Too Fast",S108="DQ","DQ")</f>
        <v>Too Fast</v>
      </c>
      <c r="U109" s="31" t="b">
        <v>0</v>
      </c>
    </row>
    <row r="110" spans="1:21" x14ac:dyDescent="0.3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2"/>
      <c r="Q110" s="41"/>
      <c r="R110" s="42"/>
      <c r="S110" s="41"/>
      <c r="T110" s="43"/>
      <c r="U110" s="28"/>
    </row>
    <row r="111" spans="1:21" x14ac:dyDescent="0.3">
      <c r="A111" s="7"/>
      <c r="B111" s="8"/>
      <c r="C111" s="4" t="s">
        <v>15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25" t="str" cm="1">
        <f t="array" ref="T111">_xlfn.IFS(S111=8,1,S111=7,2,S111=6,3,S111=5,4,S111=4,5,S111=3,6,S111=2,7,S111=1,8,S110&lt;$D$110,"Too Fast",S110="DQ","DQ")</f>
        <v>Too Fast</v>
      </c>
      <c r="U111" s="31" t="b">
        <v>0</v>
      </c>
    </row>
    <row r="112" spans="1:21" x14ac:dyDescent="0.3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2"/>
      <c r="Q112" s="41"/>
      <c r="R112" s="42"/>
      <c r="S112" s="41"/>
      <c r="T112" s="43"/>
      <c r="U112" s="28"/>
    </row>
    <row r="113" spans="1:21" x14ac:dyDescent="0.3">
      <c r="A113" s="7"/>
      <c r="B113" s="8"/>
      <c r="C113" s="4" t="s">
        <v>15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25" t="str" cm="1">
        <f t="array" ref="T113">_xlfn.IFS(S113=8,1,S113=7,2,S113=6,3,S113=5,4,S113=4,5,S113=3,6,S113=2,7,S113=1,8,S112&lt;$D$112,"Too Fast",S112="DQ","DQ")</f>
        <v>Too Fast</v>
      </c>
      <c r="U113" s="31" t="b">
        <v>0</v>
      </c>
    </row>
    <row r="114" spans="1:21" x14ac:dyDescent="0.3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2"/>
      <c r="Q114" s="41"/>
      <c r="R114" s="42"/>
      <c r="S114" s="41"/>
      <c r="T114" s="43"/>
      <c r="U114" s="28"/>
    </row>
    <row r="115" spans="1:21" x14ac:dyDescent="0.3">
      <c r="A115" s="8"/>
      <c r="B115" s="8"/>
      <c r="C115" s="4" t="s">
        <v>15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25" t="str" cm="1">
        <f t="array" ref="T115">_xlfn.IFS(S115=8,1,S115=7,2,S115=6,3,S115=5,4,S115=4,5,S115=3,6,S115=2,7,S115=1,8,S114&lt;$D$114,"Too Fast",S114="DQ","DQ")</f>
        <v>Too Fast</v>
      </c>
      <c r="U115" s="31" t="b">
        <v>0</v>
      </c>
    </row>
    <row r="116" spans="1:21" x14ac:dyDescent="0.3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0</v>
      </c>
      <c r="F116" s="37"/>
      <c r="G116" s="19">
        <f t="shared" ref="G116:K116" si="363">G89+G91+G93+G95+G97+G99+G101+G103+G105+G107+G109+G111+G113+G115</f>
        <v>0</v>
      </c>
      <c r="H116" s="37"/>
      <c r="I116" s="19">
        <f t="shared" si="363"/>
        <v>0</v>
      </c>
      <c r="J116" s="37"/>
      <c r="K116" s="19">
        <f t="shared" si="363"/>
        <v>0</v>
      </c>
      <c r="L116" s="34"/>
      <c r="M116" s="19">
        <f t="shared" ref="M116" si="364">M89+M91+M93+M95+M97+M99+M101+M103+M105+M107+M109+M111+M113+M115</f>
        <v>0</v>
      </c>
      <c r="N116" s="34"/>
      <c r="O116" s="19">
        <f t="shared" ref="O116" si="365">O89+O91+O93+O95+O97+O99+O101+O103+O105+O107+O109+O111+O113+O115</f>
        <v>0</v>
      </c>
      <c r="P116" s="34"/>
      <c r="Q116" s="19">
        <f t="shared" ref="Q116" si="366">Q89+Q91+Q93+Q95+Q97+Q99+Q101+Q103+Q105+Q107+Q109+Q111+Q113+Q115</f>
        <v>0</v>
      </c>
      <c r="R116" s="34"/>
      <c r="S116" s="19">
        <f t="shared" ref="S116" si="367">S89+S91+S93+S95+S97+S99+S101+S103+S105+S107+S109+S111+S113+S115</f>
        <v>0</v>
      </c>
      <c r="T116" s="36"/>
      <c r="U116" s="28"/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23" priority="4" operator="containsText" text="02;">
      <formula>NOT(ISERROR(SEARCH("02;",E6)))</formula>
    </cfRule>
    <cfRule type="containsText" dxfId="22" priority="5" operator="containsText" text="01;">
      <formula>NOT(ISERROR(SEARCH("01;",E6)))</formula>
    </cfRule>
    <cfRule type="containsText" dxfId="21" priority="6" operator="containsText" text="00;">
      <formula>NOT(ISERROR(SEARCH("00;",E6)))</formula>
    </cfRule>
    <cfRule type="containsText" dxfId="20" priority="7" operator="containsText" text="02.">
      <formula>NOT(ISERROR(SEARCH("02.",E6)))</formula>
    </cfRule>
    <cfRule type="containsText" dxfId="19" priority="9" operator="containsText" text="01.">
      <formula>NOT(ISERROR(SEARCH("01.",E6)))</formula>
    </cfRule>
    <cfRule type="containsText" dxfId="18" priority="10" operator="containsText" text="00.">
      <formula>NOT(ISERROR(SEARCH("00.",E6)))</formula>
    </cfRule>
  </conditionalFormatting>
  <conditionalFormatting sqref="U1:U1048576">
    <cfRule type="containsText" dxfId="17" priority="1" operator="containsText" text="FALSE">
      <formula>NOT(ISERROR(SEARCH("FALSE",U1)))</formula>
    </cfRule>
    <cfRule type="containsText" dxfId="16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ignoredErrors>
    <ignoredError sqref="R7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4" x14ac:dyDescent="0.3"/>
  <cols>
    <col min="1" max="1" width="9.6640625" bestFit="1" customWidth="1"/>
    <col min="2" max="2" width="28" bestFit="1" customWidth="1"/>
    <col min="3" max="3" width="13.109375" bestFit="1" customWidth="1"/>
    <col min="4" max="4" width="12.44140625" bestFit="1" customWidth="1"/>
    <col min="5" max="10" width="10.33203125" customWidth="1"/>
    <col min="11" max="11" width="22.109375" bestFit="1" customWidth="1"/>
    <col min="12" max="12" width="3.44140625" customWidth="1"/>
    <col min="13" max="13" width="14.44140625" customWidth="1"/>
    <col min="14" max="14" width="24" customWidth="1"/>
    <col min="15" max="15" width="9.6640625" bestFit="1" customWidth="1"/>
    <col min="16" max="16" width="10.33203125" bestFit="1" customWidth="1"/>
    <col min="17" max="17" width="9.88671875" bestFit="1" customWidth="1"/>
    <col min="18" max="20" width="11.33203125" bestFit="1" customWidth="1"/>
    <col min="21" max="21" width="11.109375" customWidth="1"/>
  </cols>
  <sheetData>
    <row r="1" spans="1:20" ht="18" x14ac:dyDescent="0.35">
      <c r="A1" s="50" t="s">
        <v>105</v>
      </c>
      <c r="B1" s="50"/>
      <c r="C1" s="50"/>
      <c r="D1" s="50"/>
      <c r="E1" s="50"/>
      <c r="F1" s="50"/>
      <c r="G1" s="50"/>
      <c r="H1" s="50"/>
      <c r="I1" s="50"/>
      <c r="J1" s="50"/>
    </row>
    <row r="2" spans="1:20" x14ac:dyDescent="0.3">
      <c r="M2" s="47" t="s">
        <v>14</v>
      </c>
      <c r="N2" s="51"/>
      <c r="O2" s="51"/>
      <c r="P2" s="51"/>
      <c r="Q2" s="51"/>
      <c r="R2" s="51"/>
      <c r="S2" s="48"/>
      <c r="T2" s="18"/>
    </row>
    <row r="3" spans="1:20" x14ac:dyDescent="0.3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M3" s="8"/>
      <c r="N3" s="8"/>
      <c r="O3" s="17" t="s">
        <v>16</v>
      </c>
      <c r="P3" s="17" t="s">
        <v>17</v>
      </c>
      <c r="Q3" s="17" t="s">
        <v>18</v>
      </c>
      <c r="R3" s="17" t="s">
        <v>20</v>
      </c>
      <c r="S3" s="17" t="s">
        <v>21</v>
      </c>
      <c r="T3" s="40" t="s">
        <v>106</v>
      </c>
    </row>
    <row r="4" spans="1:20" x14ac:dyDescent="0.3">
      <c r="A4" s="53"/>
      <c r="B4" s="53"/>
      <c r="C4" s="53"/>
      <c r="D4" s="53"/>
      <c r="E4" s="54" t="s">
        <v>5</v>
      </c>
      <c r="F4" s="55"/>
      <c r="G4" s="54" t="s">
        <v>5</v>
      </c>
      <c r="H4" s="55"/>
      <c r="I4" s="54" t="s">
        <v>5</v>
      </c>
      <c r="J4" s="55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3">
      <c r="A5" s="1" t="s">
        <v>6</v>
      </c>
      <c r="B5" s="1" t="s">
        <v>7</v>
      </c>
      <c r="C5" s="1" t="s">
        <v>8</v>
      </c>
      <c r="D5" s="1" t="s">
        <v>9</v>
      </c>
      <c r="E5" s="47" t="s">
        <v>10</v>
      </c>
      <c r="F5" s="48"/>
      <c r="G5" s="47" t="s">
        <v>10</v>
      </c>
      <c r="H5" s="48"/>
      <c r="I5" s="47" t="s">
        <v>10</v>
      </c>
      <c r="J5" s="48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3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4"/>
      <c r="I6" s="44"/>
      <c r="J6" s="41"/>
      <c r="K6" s="28" t="s">
        <v>13</v>
      </c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3">
      <c r="A7" s="7"/>
      <c r="B7" s="8"/>
      <c r="C7" s="4" t="s">
        <v>15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25" t="str" cm="1">
        <f t="array" ref="J7">_xlfn.IFS(I7=3,1,I7=2,2,I7=1,3,I6&lt;$D$6,"Too Fast",I6="DQ","DQ")</f>
        <v>Too Fast</v>
      </c>
      <c r="K7" s="28" t="b">
        <v>0</v>
      </c>
    </row>
    <row r="8" spans="1:20" x14ac:dyDescent="0.3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3"/>
      <c r="K8" s="28"/>
    </row>
    <row r="9" spans="1:20" x14ac:dyDescent="0.3">
      <c r="A9" s="7"/>
      <c r="B9" s="8"/>
      <c r="C9" s="4" t="s">
        <v>15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25" t="str" cm="1">
        <f t="array" ref="J9">_xlfn.IFS(I9=3,1,I9=2,2,I9=1,3,I8&lt;$D$8,"Too Fast",I8="DQ","DQ")</f>
        <v>Too Fast</v>
      </c>
      <c r="K9" s="28" t="b">
        <v>0</v>
      </c>
    </row>
    <row r="10" spans="1:20" x14ac:dyDescent="0.3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1"/>
      <c r="K10" s="28"/>
    </row>
    <row r="11" spans="1:20" x14ac:dyDescent="0.3">
      <c r="A11" s="7"/>
      <c r="B11" s="8"/>
      <c r="C11" s="4" t="s">
        <v>15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25" t="str" cm="1">
        <f t="array" ref="J11">_xlfn.IFS(I11=3,1,I11=2,2,I11=1,3,I10&lt;$D$10,"Too Fast",I10="DQ","DQ")</f>
        <v>Too Fast</v>
      </c>
      <c r="K11" s="28" t="b">
        <v>0</v>
      </c>
    </row>
    <row r="12" spans="1:20" x14ac:dyDescent="0.3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1"/>
      <c r="K12" s="28"/>
    </row>
    <row r="13" spans="1:20" x14ac:dyDescent="0.3">
      <c r="A13" s="7"/>
      <c r="B13" s="8"/>
      <c r="C13" s="4" t="s">
        <v>15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25" t="str" cm="1">
        <f t="array" ref="J13">_xlfn.IFS(I13=3,1,I13=2,2,I13=1,3,I12&lt;$D$12,"Too Fast",I12="DQ","DQ")</f>
        <v>Too Fast</v>
      </c>
      <c r="K13" s="28" t="b">
        <v>0</v>
      </c>
    </row>
    <row r="14" spans="1:20" x14ac:dyDescent="0.3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4"/>
      <c r="I14" s="44"/>
      <c r="J14" s="41"/>
      <c r="K14" s="28"/>
    </row>
    <row r="15" spans="1:20" x14ac:dyDescent="0.3">
      <c r="A15" s="7"/>
      <c r="B15" s="8"/>
      <c r="C15" s="4" t="s">
        <v>15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25" t="str" cm="1">
        <f t="array" ref="J15">_xlfn.IFS(I15=3,1,I15=2,2,I15=1,3,I14&lt;$D$14,"Too Fast",I14="DQ","DQ")</f>
        <v>Too Fast</v>
      </c>
      <c r="K15" s="28" t="b">
        <v>0</v>
      </c>
    </row>
    <row r="16" spans="1:20" x14ac:dyDescent="0.3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4"/>
      <c r="I16" s="44"/>
      <c r="J16" s="41"/>
      <c r="K16" s="28"/>
    </row>
    <row r="17" spans="1:11" x14ac:dyDescent="0.3">
      <c r="A17" s="7"/>
      <c r="B17" s="8"/>
      <c r="C17" s="4" t="s">
        <v>15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25" t="str" cm="1">
        <f t="array" ref="J17">_xlfn.IFS(I17=3,1,I17=2,2,I17=1,3,I16&lt;$D$16,"Too Fast",I16="DQ","DQ")</f>
        <v>Too Fast</v>
      </c>
      <c r="K17" s="28" t="b">
        <v>0</v>
      </c>
    </row>
    <row r="18" spans="1:11" x14ac:dyDescent="0.3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1"/>
      <c r="K18" s="28"/>
    </row>
    <row r="19" spans="1:11" x14ac:dyDescent="0.3">
      <c r="A19" s="7"/>
      <c r="B19" s="8"/>
      <c r="C19" s="4" t="s">
        <v>15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25" t="str" cm="1">
        <f t="array" ref="J19">_xlfn.IFS(I19=3,1,I19=2,2,I19=1,3,I18&lt;$D$18,"Too Fast",I18="DQ","DQ")</f>
        <v>Too Fast</v>
      </c>
      <c r="K19" s="28" t="b">
        <v>0</v>
      </c>
    </row>
    <row r="20" spans="1:11" x14ac:dyDescent="0.3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1"/>
      <c r="K20" s="28"/>
    </row>
    <row r="21" spans="1:11" x14ac:dyDescent="0.3">
      <c r="A21" s="7"/>
      <c r="B21" s="8"/>
      <c r="C21" s="4" t="s">
        <v>15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25" t="str" cm="1">
        <f t="array" ref="J21">_xlfn.IFS(I21=3,1,I21=2,2,I21=1,3,I20&lt;$D$20,"Too Fast",I20="DQ","DQ")</f>
        <v>Too Fast</v>
      </c>
      <c r="K21" s="28" t="b">
        <v>0</v>
      </c>
    </row>
    <row r="22" spans="1:11" x14ac:dyDescent="0.3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1"/>
      <c r="K22" s="28"/>
    </row>
    <row r="23" spans="1:11" x14ac:dyDescent="0.3">
      <c r="A23" s="7"/>
      <c r="B23" s="8"/>
      <c r="C23" s="4" t="s">
        <v>15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25" t="str" cm="1">
        <f t="array" ref="J23">_xlfn.IFS(I23=3,1,I23=2,2,I23=1,3,I22&lt;$D$22,"Too Fast",I22="DQ","DQ")</f>
        <v>Too Fast</v>
      </c>
      <c r="K23" s="28" t="b">
        <v>0</v>
      </c>
    </row>
    <row r="24" spans="1:11" x14ac:dyDescent="0.3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1"/>
      <c r="K24" s="28"/>
    </row>
    <row r="25" spans="1:11" x14ac:dyDescent="0.3">
      <c r="A25" s="7"/>
      <c r="B25" s="8"/>
      <c r="C25" s="4" t="s">
        <v>15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25" t="str" cm="1">
        <f t="array" ref="J25">_xlfn.IFS(I25=3,1,I25=2,2,I25=1,3,I24&lt;$D$24,"Too Fast",I24="DQ","DQ")</f>
        <v>Too Fast</v>
      </c>
      <c r="K25" s="28" t="b">
        <v>0</v>
      </c>
    </row>
    <row r="26" spans="1:11" x14ac:dyDescent="0.3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26"/>
      <c r="K26" s="28"/>
    </row>
    <row r="27" spans="1:11" x14ac:dyDescent="0.3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1"/>
      <c r="K27" s="28"/>
    </row>
    <row r="28" spans="1:11" x14ac:dyDescent="0.3">
      <c r="A28" s="7"/>
      <c r="B28" s="8"/>
      <c r="C28" s="4" t="s">
        <v>15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25" t="str" cm="1">
        <f t="array" ref="J28">_xlfn.IFS(I28=3,1,I28=2,2,I28=1,3,I27&lt;$D$27,"Too Fast",I27="DQ","DQ")</f>
        <v>Too Fast</v>
      </c>
      <c r="K28" s="28" t="b">
        <v>0</v>
      </c>
    </row>
    <row r="29" spans="1:11" x14ac:dyDescent="0.3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2"/>
      <c r="G29" s="41"/>
      <c r="H29" s="42"/>
      <c r="I29" s="41"/>
      <c r="J29" s="43"/>
      <c r="K29" s="28"/>
    </row>
    <row r="30" spans="1:11" x14ac:dyDescent="0.3">
      <c r="A30" s="7"/>
      <c r="B30" s="8"/>
      <c r="C30" s="4" t="s">
        <v>15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25" t="str" cm="1">
        <f t="array" ref="J30">_xlfn.IFS(I30=3,1,I30=2,2,I30=1,3,I29&lt;$D$29,"Too Fast",I29="DQ","DQ")</f>
        <v>Too Fast</v>
      </c>
      <c r="K30" s="28" t="b">
        <v>0</v>
      </c>
    </row>
    <row r="31" spans="1:11" x14ac:dyDescent="0.3">
      <c r="A31" s="5">
        <v>13</v>
      </c>
      <c r="B31" s="10" t="s">
        <v>42</v>
      </c>
      <c r="C31" s="2" t="s">
        <v>12</v>
      </c>
      <c r="D31" s="16">
        <v>8.0243055555555547E-4</v>
      </c>
      <c r="E31" s="41"/>
      <c r="F31" s="42"/>
      <c r="G31" s="41"/>
      <c r="H31" s="42"/>
      <c r="I31" s="41"/>
      <c r="J31" s="43"/>
      <c r="K31" s="28"/>
    </row>
    <row r="32" spans="1:11" x14ac:dyDescent="0.3">
      <c r="A32" s="7"/>
      <c r="B32" s="8"/>
      <c r="C32" s="4" t="s">
        <v>15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25" t="str" cm="1">
        <f t="array" ref="J32">_xlfn.IFS(I32=3,1,I32=2,2,I32=1,3,I31&lt;$D$31,"Too Fast",I31="DQ","DQ")</f>
        <v>Too Fast</v>
      </c>
      <c r="K32" s="28" t="b">
        <v>0</v>
      </c>
    </row>
    <row r="33" spans="1:11" x14ac:dyDescent="0.3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1"/>
      <c r="K33" s="28"/>
    </row>
    <row r="34" spans="1:11" x14ac:dyDescent="0.3">
      <c r="A34" s="7"/>
      <c r="B34" s="8"/>
      <c r="C34" s="4" t="s">
        <v>15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25" t="str" cm="1">
        <f t="array" ref="J34">_xlfn.IFS(I34=3,1,I34=2,2,I34=1,3,I33&lt;$D$33,"Too Fast",I33="DQ","DQ")</f>
        <v>Too Fast</v>
      </c>
      <c r="K34" s="28" t="b">
        <v>0</v>
      </c>
    </row>
    <row r="35" spans="1:11" x14ac:dyDescent="0.3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1"/>
      <c r="K35" s="28"/>
    </row>
    <row r="36" spans="1:11" x14ac:dyDescent="0.3">
      <c r="A36" s="7"/>
      <c r="B36" s="8"/>
      <c r="C36" s="4" t="s">
        <v>15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25" t="str" cm="1">
        <f t="array" ref="J36">_xlfn.IFS(I36=3,1,I36=2,2,I36=1,3,I35&lt;$D$35,"Too Fast",I35="DQ","DQ")</f>
        <v>Too Fast</v>
      </c>
      <c r="K36" s="28" t="b">
        <v>0</v>
      </c>
    </row>
    <row r="37" spans="1:11" x14ac:dyDescent="0.3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1"/>
      <c r="K37" s="28"/>
    </row>
    <row r="38" spans="1:11" x14ac:dyDescent="0.3">
      <c r="A38" s="7"/>
      <c r="B38" s="8"/>
      <c r="C38" s="4" t="s">
        <v>15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25" t="str" cm="1">
        <f t="array" ref="J38">_xlfn.IFS(I38=3,1,I38=2,2,I38=1,3,I37&lt;$D$37,"Too Fast",I37="DQ","DQ")</f>
        <v>Too Fast</v>
      </c>
      <c r="K38" s="28" t="b">
        <v>0</v>
      </c>
    </row>
    <row r="39" spans="1:11" x14ac:dyDescent="0.3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1"/>
      <c r="K39" s="28"/>
    </row>
    <row r="40" spans="1:11" x14ac:dyDescent="0.3">
      <c r="A40" s="7"/>
      <c r="B40" s="8"/>
      <c r="C40" s="4" t="s">
        <v>15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25" t="str" cm="1">
        <f t="array" ref="J40">_xlfn.IFS(I40=3,1,I40=2,2,I40=1,3,I39&lt;$D$39,"Too Fast",I39="DQ","DQ")</f>
        <v>Too Fast</v>
      </c>
      <c r="K40" s="28" t="b">
        <v>0</v>
      </c>
    </row>
    <row r="41" spans="1:11" x14ac:dyDescent="0.3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1"/>
      <c r="K41" s="28"/>
    </row>
    <row r="42" spans="1:11" x14ac:dyDescent="0.3">
      <c r="A42" s="7"/>
      <c r="B42" s="8"/>
      <c r="C42" s="4" t="s">
        <v>15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25" t="str" cm="1">
        <f t="array" ref="J42">_xlfn.IFS(I42=3,1,I42=2,2,I42=1,3,I41&lt;$D$41,"Too Fast",I41="DQ","DQ")</f>
        <v>Too Fast</v>
      </c>
      <c r="K42" s="28" t="b">
        <v>0</v>
      </c>
    </row>
    <row r="43" spans="1:11" x14ac:dyDescent="0.3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1"/>
      <c r="K43" s="28"/>
    </row>
    <row r="44" spans="1:11" x14ac:dyDescent="0.3">
      <c r="A44" s="7"/>
      <c r="B44" s="8"/>
      <c r="C44" s="4" t="s">
        <v>15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25" t="str" cm="1">
        <f t="array" ref="J44">_xlfn.IFS(I44=3,1,I44=2,2,I44=1,3,I43&lt;$D$43,"Too Fast",I43="DQ","DQ")</f>
        <v>Too Fast</v>
      </c>
      <c r="K44" s="28" t="b">
        <v>0</v>
      </c>
    </row>
    <row r="45" spans="1:11" x14ac:dyDescent="0.3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1"/>
      <c r="K45" s="28"/>
    </row>
    <row r="46" spans="1:11" x14ac:dyDescent="0.3">
      <c r="A46" s="7"/>
      <c r="B46" s="8"/>
      <c r="C46" s="4" t="s">
        <v>15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25" t="str" cm="1">
        <f t="array" ref="J46">_xlfn.IFS(I46=3,1,I46=2,2,I46=1,3,I45&lt;$D$45,"Too Fast",I45="DQ","DQ")</f>
        <v>Too Fast</v>
      </c>
      <c r="K46" s="28" t="b">
        <v>0</v>
      </c>
    </row>
    <row r="47" spans="1:11" x14ac:dyDescent="0.3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27"/>
      <c r="K47" s="28"/>
    </row>
    <row r="48" spans="1:11" x14ac:dyDescent="0.3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4"/>
      <c r="I48" s="44"/>
      <c r="J48" s="41"/>
      <c r="K48" s="28"/>
    </row>
    <row r="49" spans="1:11" x14ac:dyDescent="0.3">
      <c r="A49" s="7"/>
      <c r="B49" s="8"/>
      <c r="C49" s="4" t="s">
        <v>15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25" t="str" cm="1">
        <f t="array" ref="J49">_xlfn.IFS(I49=3,1,I49=2,2,I49=1,3,I48&lt;$D$48,"Too Fast",I48="DQ","DQ")</f>
        <v>Too Fast</v>
      </c>
      <c r="K49" s="28" t="b">
        <v>0</v>
      </c>
    </row>
    <row r="50" spans="1:11" x14ac:dyDescent="0.3">
      <c r="A50" s="5">
        <v>22</v>
      </c>
      <c r="B50" s="10" t="s">
        <v>52</v>
      </c>
      <c r="C50" s="2" t="s">
        <v>32</v>
      </c>
      <c r="D50" s="16">
        <v>1.8969907407407409E-4</v>
      </c>
      <c r="E50" s="44"/>
      <c r="F50" s="44"/>
      <c r="G50" s="44"/>
      <c r="H50" s="44"/>
      <c r="I50" s="44"/>
      <c r="J50" s="41"/>
      <c r="K50" s="28"/>
    </row>
    <row r="51" spans="1:11" x14ac:dyDescent="0.3">
      <c r="A51" s="7"/>
      <c r="B51" s="8"/>
      <c r="C51" s="4" t="s">
        <v>15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25" t="str" cm="1">
        <f t="array" ref="J51">_xlfn.IFS(I51=3,1,I51=2,2,I51=1,3,I50&lt;$D$50,"Too Fast",I50="DQ","DQ")</f>
        <v>Too Fast</v>
      </c>
      <c r="K51" s="28" t="b">
        <v>0</v>
      </c>
    </row>
    <row r="52" spans="1:11" x14ac:dyDescent="0.3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4"/>
      <c r="I52" s="44"/>
      <c r="J52" s="41"/>
      <c r="K52" s="28"/>
    </row>
    <row r="53" spans="1:11" x14ac:dyDescent="0.3">
      <c r="A53" s="7"/>
      <c r="B53" s="8"/>
      <c r="C53" s="4" t="s">
        <v>15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25" t="str" cm="1">
        <f t="array" ref="J53">_xlfn.IFS(I53=3,1,I53=2,2,I53=1,3,I52&lt;$D$52,"Too Fast",I52="DQ","DQ")</f>
        <v>Too Fast</v>
      </c>
      <c r="K53" s="28" t="b">
        <v>0</v>
      </c>
    </row>
    <row r="54" spans="1:11" x14ac:dyDescent="0.3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4"/>
      <c r="I54" s="44"/>
      <c r="J54" s="41"/>
      <c r="K54" s="28"/>
    </row>
    <row r="55" spans="1:11" x14ac:dyDescent="0.3">
      <c r="A55" s="7"/>
      <c r="B55" s="8"/>
      <c r="C55" s="4" t="s">
        <v>15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25" t="str" cm="1">
        <f t="array" ref="J55">_xlfn.IFS(I55=3,1,I55=2,2,I55=1,3,I54&lt;$D$54,"Too Fast",I54="DQ","DQ")</f>
        <v>Too Fast</v>
      </c>
      <c r="K55" s="28" t="b">
        <v>0</v>
      </c>
    </row>
    <row r="56" spans="1:11" x14ac:dyDescent="0.3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4"/>
      <c r="I56" s="44"/>
      <c r="J56" s="41"/>
      <c r="K56" s="28"/>
    </row>
    <row r="57" spans="1:11" x14ac:dyDescent="0.3">
      <c r="A57" s="7"/>
      <c r="B57" s="8"/>
      <c r="C57" s="4" t="s">
        <v>15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25" t="str" cm="1">
        <f t="array" ref="J57">_xlfn.IFS(I57=3,1,I57=2,2,I57=1,3,I56&lt;$D$56,"Too Fast",I56="DQ","DQ")</f>
        <v>Too Fast</v>
      </c>
      <c r="K57" s="28" t="b">
        <v>0</v>
      </c>
    </row>
    <row r="58" spans="1:11" x14ac:dyDescent="0.3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4"/>
      <c r="I58" s="44"/>
      <c r="J58" s="41"/>
      <c r="K58" s="28"/>
    </row>
    <row r="59" spans="1:11" x14ac:dyDescent="0.3">
      <c r="A59" s="7"/>
      <c r="B59" s="8"/>
      <c r="C59" s="4" t="s">
        <v>15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25" t="str" cm="1">
        <f t="array" ref="J59">_xlfn.IFS(I59=3,1,I59=2,2,I59=1,3,I58&lt;$D$58,"Too Fast",I58="DQ","DQ")</f>
        <v>Too Fast</v>
      </c>
      <c r="K59" s="28" t="b">
        <v>0</v>
      </c>
    </row>
    <row r="60" spans="1:11" x14ac:dyDescent="0.3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4"/>
      <c r="I60" s="44"/>
      <c r="J60" s="41"/>
      <c r="K60" s="28"/>
    </row>
    <row r="61" spans="1:11" x14ac:dyDescent="0.3">
      <c r="A61" s="7"/>
      <c r="B61" s="8"/>
      <c r="C61" s="4" t="s">
        <v>15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25" t="str" cm="1">
        <f t="array" ref="J61">_xlfn.IFS(I61=3,1,I61=2,2,I61=1,3,I60&lt;$D$60,"Too Fast",I60="DQ","DQ")</f>
        <v>Too Fast</v>
      </c>
      <c r="K61" s="28" t="b">
        <v>0</v>
      </c>
    </row>
    <row r="62" spans="1:11" x14ac:dyDescent="0.3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4"/>
      <c r="I62" s="44"/>
      <c r="J62" s="41"/>
      <c r="K62" s="28"/>
    </row>
    <row r="63" spans="1:11" x14ac:dyDescent="0.3">
      <c r="A63" s="7"/>
      <c r="B63" s="8"/>
      <c r="C63" s="4" t="s">
        <v>15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25" t="str" cm="1">
        <f t="array" ref="J63">_xlfn.IFS(I63=3,1,I63=2,2,I63=1,3,I62&lt;$D$62,"Too Fast",I62="DQ","DQ")</f>
        <v>Too Fast</v>
      </c>
      <c r="K63" s="28" t="b">
        <v>0</v>
      </c>
    </row>
    <row r="64" spans="1:11" x14ac:dyDescent="0.3">
      <c r="A64" s="5">
        <v>29</v>
      </c>
      <c r="B64" s="10" t="s">
        <v>60</v>
      </c>
      <c r="C64" s="2" t="s">
        <v>32</v>
      </c>
      <c r="D64" s="16">
        <v>2.0972222222222223E-4</v>
      </c>
      <c r="E64" s="44"/>
      <c r="F64" s="44"/>
      <c r="G64" s="44"/>
      <c r="H64" s="44"/>
      <c r="I64" s="44"/>
      <c r="J64" s="41"/>
      <c r="K64" s="28"/>
    </row>
    <row r="65" spans="1:11" x14ac:dyDescent="0.3">
      <c r="A65" s="7"/>
      <c r="B65" s="8"/>
      <c r="C65" s="4" t="s">
        <v>15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25" t="str" cm="1">
        <f t="array" ref="J65">_xlfn.IFS(I65=3,1,I65=2,2,I65=1,3,I64&lt;$D$64,"Too Fast",I64="DQ","DQ")</f>
        <v>Too Fast</v>
      </c>
      <c r="K65" s="28" t="b">
        <v>0</v>
      </c>
    </row>
    <row r="66" spans="1:11" x14ac:dyDescent="0.3">
      <c r="A66" s="5">
        <v>30</v>
      </c>
      <c r="B66" s="10" t="s">
        <v>61</v>
      </c>
      <c r="C66" s="2" t="s">
        <v>32</v>
      </c>
      <c r="D66" s="16">
        <v>2.1087962962962963E-4</v>
      </c>
      <c r="E66" s="44"/>
      <c r="F66" s="44"/>
      <c r="G66" s="44"/>
      <c r="H66" s="44"/>
      <c r="I66" s="44"/>
      <c r="J66" s="41"/>
      <c r="K66" s="28"/>
    </row>
    <row r="67" spans="1:11" x14ac:dyDescent="0.3">
      <c r="A67" s="7"/>
      <c r="B67" s="8"/>
      <c r="C67" s="4" t="s">
        <v>15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25" t="str" cm="1">
        <f t="array" ref="J67">_xlfn.IFS(I67=3,1,I67=2,2,I67=1,3,I66&lt;$D$66,"Too Fast",I66="DQ","DQ")</f>
        <v>Too Fast</v>
      </c>
      <c r="K67" s="28" t="b">
        <v>0</v>
      </c>
    </row>
    <row r="68" spans="1:11" x14ac:dyDescent="0.3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27"/>
      <c r="K68" s="28"/>
    </row>
    <row r="69" spans="1:11" x14ac:dyDescent="0.3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3"/>
      <c r="K69" s="28"/>
    </row>
    <row r="70" spans="1:11" x14ac:dyDescent="0.3">
      <c r="A70" s="7"/>
      <c r="B70" s="8"/>
      <c r="C70" s="4" t="s">
        <v>15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25" t="str" cm="1">
        <f t="array" ref="J70">_xlfn.IFS(I70=3,1,I70=2,2,I70=1,3,I69&lt;$D$69,"Too Fast",I69="DQ","DQ")</f>
        <v>Too Fast</v>
      </c>
      <c r="K70" s="28" t="b">
        <v>0</v>
      </c>
    </row>
    <row r="71" spans="1:11" x14ac:dyDescent="0.3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3"/>
      <c r="K71" s="28"/>
    </row>
    <row r="72" spans="1:11" x14ac:dyDescent="0.3">
      <c r="A72" s="7"/>
      <c r="B72" s="8"/>
      <c r="C72" s="4" t="s">
        <v>15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25" t="str" cm="1">
        <f t="array" ref="J72">_xlfn.IFS(I72=3,1,I72=2,2,I72=1,3,I71&lt;$D$71,"Too Fast",I71="DQ","DQ")</f>
        <v>Too Fast</v>
      </c>
      <c r="K72" s="28" t="b">
        <v>0</v>
      </c>
    </row>
    <row r="73" spans="1:11" x14ac:dyDescent="0.3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3"/>
      <c r="K73" s="28"/>
    </row>
    <row r="74" spans="1:11" x14ac:dyDescent="0.3">
      <c r="A74" s="7"/>
      <c r="B74" s="8"/>
      <c r="C74" s="4" t="s">
        <v>15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25" t="str" cm="1">
        <f t="array" ref="J74">_xlfn.IFS(I74=3,1,I74=2,2,I74=1,3,I73&lt;$D$73,"Too Fast",I73="DQ","DQ")</f>
        <v>Too Fast</v>
      </c>
      <c r="K74" s="28" t="b">
        <v>0</v>
      </c>
    </row>
    <row r="75" spans="1:11" x14ac:dyDescent="0.3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3"/>
      <c r="K75" s="28"/>
    </row>
    <row r="76" spans="1:11" x14ac:dyDescent="0.3">
      <c r="A76" s="7"/>
      <c r="B76" s="8"/>
      <c r="C76" s="4" t="s">
        <v>15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25" t="str" cm="1">
        <f t="array" ref="J76">_xlfn.IFS(I76=3,1,I76=2,2,I76=1,3,I75&lt;$D$75,"Too Fast",I75="DQ","DQ")</f>
        <v>Too Fast</v>
      </c>
      <c r="K76" s="28" t="b">
        <v>0</v>
      </c>
    </row>
    <row r="77" spans="1:11" x14ac:dyDescent="0.3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3"/>
      <c r="K77" s="28"/>
    </row>
    <row r="78" spans="1:11" x14ac:dyDescent="0.3">
      <c r="A78" s="7"/>
      <c r="B78" s="8"/>
      <c r="C78" s="4" t="s">
        <v>15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25" t="str" cm="1">
        <f t="array" ref="J78">_xlfn.IFS(I78=3,1,I78=2,2,I78=1,3,I77&lt;$D$77,"Too Fast",I77="DQ","DQ")</f>
        <v>Too Fast</v>
      </c>
      <c r="K78" s="28" t="b">
        <v>0</v>
      </c>
    </row>
    <row r="79" spans="1:11" x14ac:dyDescent="0.3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3"/>
      <c r="K79" s="28"/>
    </row>
    <row r="80" spans="1:11" x14ac:dyDescent="0.3">
      <c r="A80" s="7"/>
      <c r="B80" s="8"/>
      <c r="C80" s="4" t="s">
        <v>15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25" t="str" cm="1">
        <f t="array" ref="J80">_xlfn.IFS(I80=3,1,I80=2,2,I80=1,3,I79&lt;$D$79,"Too Fast",I79="DQ","DQ")</f>
        <v>Too Fast</v>
      </c>
      <c r="K80" s="28" t="b">
        <v>0</v>
      </c>
    </row>
    <row r="81" spans="1:11" x14ac:dyDescent="0.3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3"/>
      <c r="K81" s="28"/>
    </row>
    <row r="82" spans="1:11" x14ac:dyDescent="0.3">
      <c r="A82" s="7"/>
      <c r="B82" s="8"/>
      <c r="C82" s="4" t="s">
        <v>15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25" t="str" cm="1">
        <f t="array" ref="J82">_xlfn.IFS(I82=3,1,I82=2,2,I82=1,3,I81&lt;$D$81,"Too Fast",I81="DQ","DQ")</f>
        <v>Too Fast</v>
      </c>
      <c r="K82" s="28" t="b">
        <v>0</v>
      </c>
    </row>
    <row r="83" spans="1:11" x14ac:dyDescent="0.3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3"/>
      <c r="K83" s="28"/>
    </row>
    <row r="84" spans="1:11" x14ac:dyDescent="0.3">
      <c r="A84" s="7"/>
      <c r="B84" s="8"/>
      <c r="C84" s="4" t="s">
        <v>15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25" t="str" cm="1">
        <f t="array" ref="J84">_xlfn.IFS(I84=3,1,I84=2,2,I84=1,3,I83&lt;$D$83,"Too Fast",I83="DQ","DQ")</f>
        <v>Too Fast</v>
      </c>
      <c r="K84" s="28" t="b">
        <v>0</v>
      </c>
    </row>
    <row r="85" spans="1:11" x14ac:dyDescent="0.3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3"/>
      <c r="K85" s="28"/>
    </row>
    <row r="86" spans="1:11" x14ac:dyDescent="0.3">
      <c r="A86" s="7"/>
      <c r="B86" s="8"/>
      <c r="C86" s="4" t="s">
        <v>15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25" t="str" cm="1">
        <f t="array" ref="J86">_xlfn.IFS(I86=3,1,I86=2,2,I86=1,3,I85&lt;$D$85,"Too Fast",I85="DQ","DQ")</f>
        <v>Too Fast</v>
      </c>
      <c r="K86" s="28" t="b">
        <v>0</v>
      </c>
    </row>
    <row r="87" spans="1:11" x14ac:dyDescent="0.3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3"/>
      <c r="K87" s="28"/>
    </row>
    <row r="88" spans="1:11" x14ac:dyDescent="0.3">
      <c r="A88" s="7"/>
      <c r="B88" s="8"/>
      <c r="C88" s="4" t="s">
        <v>15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25" t="str" cm="1">
        <f t="array" ref="J88">_xlfn.IFS(I88=3,1,I88=2,2,I88=1,3,I87&lt;$D$87,"Too Fast",I87="DQ","DQ")</f>
        <v>Too Fast</v>
      </c>
      <c r="K88" s="28" t="b">
        <v>0</v>
      </c>
    </row>
    <row r="89" spans="1:11" x14ac:dyDescent="0.3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27"/>
      <c r="K89" s="28"/>
    </row>
    <row r="90" spans="1:11" x14ac:dyDescent="0.3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3"/>
      <c r="K90" s="28"/>
    </row>
    <row r="91" spans="1:11" x14ac:dyDescent="0.3">
      <c r="A91" s="7"/>
      <c r="B91" s="8"/>
      <c r="C91" s="4" t="s">
        <v>15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25" t="str" cm="1">
        <f t="array" ref="J91">_xlfn.IFS(I91=3,1,I91=2,2,I91=1,3,I90&lt;$D$90,"Too Fast",I90="DQ","DQ")</f>
        <v>Too Fast</v>
      </c>
      <c r="K91" s="28" t="b">
        <v>0</v>
      </c>
    </row>
    <row r="92" spans="1:11" x14ac:dyDescent="0.3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3"/>
      <c r="K92" s="28"/>
    </row>
    <row r="93" spans="1:11" x14ac:dyDescent="0.3">
      <c r="A93" s="7"/>
      <c r="B93" s="8"/>
      <c r="C93" s="4" t="s">
        <v>15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25" t="str" cm="1">
        <f t="array" ref="J93">_xlfn.IFS(I93=3,1,I93=2,2,I93=1,3,I92&lt;$D$92,"Too Fast",I92="DQ","DQ")</f>
        <v>Too Fast</v>
      </c>
      <c r="K93" s="28" t="b">
        <v>0</v>
      </c>
    </row>
    <row r="94" spans="1:11" x14ac:dyDescent="0.3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3"/>
      <c r="K94" s="28"/>
    </row>
    <row r="95" spans="1:11" x14ac:dyDescent="0.3">
      <c r="A95" s="8"/>
      <c r="B95" s="8"/>
      <c r="C95" s="4" t="s">
        <v>15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25" t="str" cm="1">
        <f t="array" ref="J95">_xlfn.IFS(I95=3,1,I95=2,2,I95=1,3,I94&lt;$D$94,"Too Fast",I94="DQ","DQ")</f>
        <v>Too Fast</v>
      </c>
      <c r="K95" s="28" t="b">
        <v>0</v>
      </c>
    </row>
    <row r="96" spans="1:11" x14ac:dyDescent="0.3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3"/>
      <c r="K96" s="28"/>
    </row>
    <row r="97" spans="1:11" x14ac:dyDescent="0.3">
      <c r="A97" s="7"/>
      <c r="B97" s="8"/>
      <c r="C97" s="4" t="s">
        <v>15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25" t="str" cm="1">
        <f t="array" ref="J97">_xlfn.IFS(I97=3,1,I97=2,2,I97=1,3,I96&lt;$D$96,"Too Fast",I96="DQ","DQ")</f>
        <v>Too Fast</v>
      </c>
      <c r="K97" s="28" t="b">
        <v>0</v>
      </c>
    </row>
    <row r="98" spans="1:11" x14ac:dyDescent="0.3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2"/>
      <c r="I98" s="41"/>
      <c r="J98" s="43"/>
      <c r="K98" s="28"/>
    </row>
    <row r="99" spans="1:11" x14ac:dyDescent="0.3">
      <c r="A99" s="7"/>
      <c r="B99" s="8"/>
      <c r="C99" s="4" t="s">
        <v>15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25" t="str" cm="1">
        <f t="array" ref="J99">_xlfn.IFS(I99=3,1,I99=2,2,I99=1,3,I98&lt;$D$98,"Too Fast",I98="DQ","DQ")</f>
        <v>Too Fast</v>
      </c>
      <c r="K99" s="28" t="b">
        <v>0</v>
      </c>
    </row>
    <row r="100" spans="1:11" x14ac:dyDescent="0.3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2"/>
      <c r="I100" s="41"/>
      <c r="J100" s="43"/>
      <c r="K100" s="28"/>
    </row>
    <row r="101" spans="1:11" x14ac:dyDescent="0.3">
      <c r="A101" s="8"/>
      <c r="B101" s="8"/>
      <c r="C101" s="4" t="s">
        <v>15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25" t="str" cm="1">
        <f t="array" ref="J101">_xlfn.IFS(I101=3,1,I101=2,2,I101=1,3,I100&lt;$D$100,"Too Fast",I100="DQ","DQ")</f>
        <v>Too Fast</v>
      </c>
      <c r="K101" s="28" t="b">
        <v>0</v>
      </c>
    </row>
    <row r="102" spans="1:11" x14ac:dyDescent="0.3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3"/>
      <c r="K102" s="28"/>
    </row>
    <row r="103" spans="1:11" x14ac:dyDescent="0.3">
      <c r="A103" s="7"/>
      <c r="B103" s="8"/>
      <c r="C103" s="4" t="s">
        <v>15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25" t="str" cm="1">
        <f t="array" ref="J103">_xlfn.IFS(I103=3,1,I103=2,2,I103=1,3,I102&lt;$D$102,"Too Fast",I102="DQ","DQ")</f>
        <v>Too Fast</v>
      </c>
      <c r="K103" s="28" t="b">
        <v>0</v>
      </c>
    </row>
    <row r="104" spans="1:11" x14ac:dyDescent="0.3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3"/>
      <c r="K104" s="28"/>
    </row>
    <row r="105" spans="1:11" x14ac:dyDescent="0.3">
      <c r="A105" s="7"/>
      <c r="B105" s="8"/>
      <c r="C105" s="4" t="s">
        <v>15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25" t="str" cm="1">
        <f t="array" ref="J105">_xlfn.IFS(I105=3,1,I105=2,2,I105=1,3,I104&lt;$D$104,"Too Fast",I104="DQ","DQ")</f>
        <v>Too Fast</v>
      </c>
      <c r="K105" s="28" t="b">
        <v>0</v>
      </c>
    </row>
    <row r="106" spans="1:11" x14ac:dyDescent="0.3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3"/>
      <c r="K106" s="28"/>
    </row>
    <row r="107" spans="1:11" x14ac:dyDescent="0.3">
      <c r="A107" s="8"/>
      <c r="B107" s="8"/>
      <c r="C107" s="4" t="s">
        <v>15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25" t="str" cm="1">
        <f t="array" ref="J107">_xlfn.IFS(I107=3,1,I107=2,2,I107=1,3,I106&lt;$D$106,"Too Fast",I106="DQ","DQ")</f>
        <v>Too Fast</v>
      </c>
      <c r="K107" s="28" t="b">
        <v>0</v>
      </c>
    </row>
    <row r="108" spans="1:11" x14ac:dyDescent="0.3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3"/>
      <c r="K108" s="28"/>
    </row>
    <row r="109" spans="1:11" x14ac:dyDescent="0.3">
      <c r="A109" s="7"/>
      <c r="B109" s="8"/>
      <c r="C109" s="4" t="s">
        <v>15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25" t="str" cm="1">
        <f t="array" ref="J109">_xlfn.IFS(I109=3,1,I109=2,2,I109=1,3,I108&lt;$D$108,"Too Fast",I108="DQ","DQ")</f>
        <v>Too Fast</v>
      </c>
      <c r="K109" s="28" t="b">
        <v>0</v>
      </c>
    </row>
    <row r="110" spans="1:11" x14ac:dyDescent="0.3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3"/>
      <c r="K110" s="28"/>
    </row>
    <row r="111" spans="1:11" x14ac:dyDescent="0.3">
      <c r="A111" s="7"/>
      <c r="B111" s="8"/>
      <c r="C111" s="4" t="s">
        <v>15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25" t="str" cm="1">
        <f t="array" ref="J111">_xlfn.IFS(I111=3,1,I111=2,2,I111=1,3,I110&lt;$D$110,"Too Fast",I110="DQ","DQ")</f>
        <v>Too Fast</v>
      </c>
      <c r="K111" s="28" t="b">
        <v>0</v>
      </c>
    </row>
    <row r="112" spans="1:11" x14ac:dyDescent="0.3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3"/>
      <c r="K112" s="28"/>
    </row>
    <row r="113" spans="1:11" x14ac:dyDescent="0.3">
      <c r="A113" s="7"/>
      <c r="B113" s="8"/>
      <c r="C113" s="4" t="s">
        <v>15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25" t="str" cm="1">
        <f t="array" ref="J113">_xlfn.IFS(I113=3,1,I113=2,2,I113=1,3,I112&lt;$D$112,"Too Fast",I112="DQ","DQ")</f>
        <v>Too Fast</v>
      </c>
      <c r="K113" s="28" t="b">
        <v>0</v>
      </c>
    </row>
    <row r="114" spans="1:11" x14ac:dyDescent="0.3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3"/>
      <c r="K114" s="28"/>
    </row>
    <row r="115" spans="1:11" x14ac:dyDescent="0.3">
      <c r="A115" s="8"/>
      <c r="B115" s="8"/>
      <c r="C115" s="4" t="s">
        <v>15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25" t="str" cm="1">
        <f t="array" ref="J115">_xlfn.IFS(I115=3,1,I115=2,2,I115=1,3,I114&lt;$D$114,"Too Fast",I114="DQ","DQ")</f>
        <v>Too Fast</v>
      </c>
      <c r="K115" s="28" t="b">
        <v>0</v>
      </c>
    </row>
    <row r="116" spans="1:11" x14ac:dyDescent="0.3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27"/>
      <c r="K116" s="28"/>
    </row>
    <row r="117" spans="1:11" x14ac:dyDescent="0.3">
      <c r="B117" s="12" t="s">
        <v>107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15" priority="1" operator="containsText" text="02.">
      <formula>NOT(ISERROR(SEARCH("02.",E6)))</formula>
    </cfRule>
    <cfRule type="containsText" dxfId="14" priority="2" operator="containsText" text="01.">
      <formula>NOT(ISERROR(SEARCH("01.",E6)))</formula>
    </cfRule>
    <cfRule type="containsText" dxfId="1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O1" sqref="O1:O1048576"/>
    </sheetView>
  </sheetViews>
  <sheetFormatPr defaultColWidth="9" defaultRowHeight="14.4" x14ac:dyDescent="0.3"/>
  <cols>
    <col min="1" max="1" width="9.6640625" bestFit="1" customWidth="1"/>
    <col min="2" max="2" width="28" bestFit="1" customWidth="1"/>
    <col min="3" max="3" width="13.109375" bestFit="1" customWidth="1"/>
    <col min="4" max="4" width="12.44140625" bestFit="1" customWidth="1"/>
    <col min="5" max="14" width="10.33203125" customWidth="1"/>
    <col min="15" max="15" width="20.44140625" bestFit="1" customWidth="1"/>
    <col min="16" max="16" width="3.44140625" customWidth="1"/>
    <col min="17" max="17" width="14.44140625" customWidth="1"/>
    <col min="18" max="18" width="24" customWidth="1"/>
    <col min="19" max="19" width="9.6640625" bestFit="1" customWidth="1"/>
    <col min="20" max="24" width="11.33203125" bestFit="1" customWidth="1"/>
    <col min="27" max="27" width="12" customWidth="1"/>
  </cols>
  <sheetData>
    <row r="1" spans="1:27" ht="18" x14ac:dyDescent="0.35">
      <c r="A1" s="50" t="s">
        <v>105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27" x14ac:dyDescent="0.3">
      <c r="Q2" s="47" t="s">
        <v>14</v>
      </c>
      <c r="R2" s="51"/>
      <c r="S2" s="51"/>
      <c r="T2" s="51"/>
      <c r="U2" s="51"/>
      <c r="V2" s="51"/>
      <c r="W2" s="51"/>
      <c r="X2" s="18"/>
      <c r="Y2" s="18"/>
      <c r="Z2" s="18"/>
      <c r="AA2" s="18"/>
    </row>
    <row r="3" spans="1:27" x14ac:dyDescent="0.3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4</v>
      </c>
      <c r="L3" s="49"/>
      <c r="M3" s="49" t="s">
        <v>89</v>
      </c>
      <c r="N3" s="49"/>
      <c r="Q3" s="8"/>
      <c r="R3" s="8"/>
      <c r="S3" s="17" t="s">
        <v>16</v>
      </c>
      <c r="T3" s="17" t="s">
        <v>17</v>
      </c>
      <c r="U3" s="17" t="s">
        <v>18</v>
      </c>
      <c r="V3" s="17" t="s">
        <v>19</v>
      </c>
      <c r="W3" s="17" t="s">
        <v>91</v>
      </c>
      <c r="X3" s="40" t="s">
        <v>20</v>
      </c>
      <c r="Y3" s="40" t="s">
        <v>21</v>
      </c>
      <c r="Z3" s="40" t="s">
        <v>106</v>
      </c>
      <c r="AA3" s="17"/>
    </row>
    <row r="4" spans="1:27" x14ac:dyDescent="0.3">
      <c r="A4" s="53"/>
      <c r="B4" s="53"/>
      <c r="C4" s="53"/>
      <c r="D4" s="53"/>
      <c r="E4" s="54" t="s">
        <v>5</v>
      </c>
      <c r="F4" s="55"/>
      <c r="G4" s="54" t="s">
        <v>5</v>
      </c>
      <c r="H4" s="55"/>
      <c r="I4" s="54" t="s">
        <v>5</v>
      </c>
      <c r="J4" s="55"/>
      <c r="K4" s="54" t="s">
        <v>5</v>
      </c>
      <c r="L4" s="55"/>
      <c r="M4" s="54" t="s">
        <v>5</v>
      </c>
      <c r="N4" s="55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3">
      <c r="A5" s="1" t="s">
        <v>6</v>
      </c>
      <c r="B5" s="1" t="s">
        <v>7</v>
      </c>
      <c r="C5" s="1" t="s">
        <v>8</v>
      </c>
      <c r="D5" s="1" t="s">
        <v>9</v>
      </c>
      <c r="E5" s="47" t="s">
        <v>10</v>
      </c>
      <c r="F5" s="48"/>
      <c r="G5" s="47" t="s">
        <v>10</v>
      </c>
      <c r="H5" s="48"/>
      <c r="I5" s="47" t="s">
        <v>10</v>
      </c>
      <c r="J5" s="48"/>
      <c r="K5" s="49" t="s">
        <v>10</v>
      </c>
      <c r="L5" s="49"/>
      <c r="M5" s="49" t="s">
        <v>10</v>
      </c>
      <c r="N5" s="49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3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3"/>
      <c r="O6" s="30" t="s">
        <v>13</v>
      </c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3">
      <c r="A7" s="7"/>
      <c r="B7" s="8"/>
      <c r="C7" s="4" t="s">
        <v>15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25" t="str" cm="1">
        <f t="array" ref="N7">_xlfn.IFS(M7=5,1,M7=4,2,M7=3,3,M7=2,4,M7=1,5,M6&lt;$D$6,"Too Fast",M6="DQ","DQ")</f>
        <v>Too Fast</v>
      </c>
      <c r="O7" s="31" t="b">
        <v>0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3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3"/>
      <c r="O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3">
      <c r="A9" s="7"/>
      <c r="B9" s="8"/>
      <c r="C9" s="4" t="s">
        <v>15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25" t="str" cm="1">
        <f t="array" ref="N9">_xlfn.IFS(M9=5,1,M9=4,2,M9=3,3,M9=2,4,M9=1,5,M8&lt;$D$8,"Too Fast",M8="DQ","DQ")</f>
        <v>Too Fast</v>
      </c>
      <c r="O9" s="31" t="b">
        <v>0</v>
      </c>
    </row>
    <row r="10" spans="1:27" x14ac:dyDescent="0.3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1"/>
      <c r="O10" s="28"/>
    </row>
    <row r="11" spans="1:27" x14ac:dyDescent="0.3">
      <c r="A11" s="7"/>
      <c r="B11" s="8"/>
      <c r="C11" s="4" t="s">
        <v>15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25" t="str" cm="1">
        <f t="array" ref="N11">_xlfn.IFS(M11=5,1,M11=4,2,M11=3,3,M11=2,4,M11=1,5,M10&lt;$D$10,"Too Fast",M10="DQ","DQ")</f>
        <v>Too Fast</v>
      </c>
      <c r="O11" s="31" t="b">
        <v>0</v>
      </c>
    </row>
    <row r="12" spans="1:27" x14ac:dyDescent="0.3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1"/>
      <c r="O12" s="28"/>
    </row>
    <row r="13" spans="1:27" x14ac:dyDescent="0.3">
      <c r="A13" s="7"/>
      <c r="B13" s="8"/>
      <c r="C13" s="4" t="s">
        <v>15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25" t="str" cm="1">
        <f t="array" ref="N13">_xlfn.IFS(M13=5,1,M13=4,2,M13=3,3,M13=2,4,M13=1,5,M12&lt;$D$12,"Too Fast",M12="DQ","DQ")</f>
        <v>Too Fast</v>
      </c>
      <c r="O13" s="31" t="b">
        <v>0</v>
      </c>
    </row>
    <row r="14" spans="1:27" x14ac:dyDescent="0.3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1"/>
      <c r="O14" s="28"/>
    </row>
    <row r="15" spans="1:27" x14ac:dyDescent="0.3">
      <c r="A15" s="7"/>
      <c r="B15" s="8"/>
      <c r="C15" s="4" t="s">
        <v>15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25" t="str" cm="1">
        <f t="array" ref="N15">_xlfn.IFS(M15=5,1,M15=4,2,M15=3,3,M15=2,4,M15=1,5,M14&lt;$D$14,"Too Fast",M14="DQ","DQ")</f>
        <v>Too Fast</v>
      </c>
      <c r="O15" s="31" t="b">
        <v>0</v>
      </c>
    </row>
    <row r="16" spans="1:27" x14ac:dyDescent="0.3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1"/>
      <c r="O16" s="28"/>
    </row>
    <row r="17" spans="1:15" x14ac:dyDescent="0.3">
      <c r="A17" s="7"/>
      <c r="B17" s="8"/>
      <c r="C17" s="4" t="s">
        <v>15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25" t="str" cm="1">
        <f t="array" ref="N17">_xlfn.IFS(M17=5,1,M17=4,2,M17=3,3,M17=2,4,M17=1,5,M16&lt;$D$16,"Too Fast",M16="DQ","DQ")</f>
        <v>Too Fast</v>
      </c>
      <c r="O17" s="31" t="b">
        <v>0</v>
      </c>
    </row>
    <row r="18" spans="1:15" x14ac:dyDescent="0.3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1"/>
      <c r="O18" s="28"/>
    </row>
    <row r="19" spans="1:15" x14ac:dyDescent="0.3">
      <c r="A19" s="7"/>
      <c r="B19" s="8"/>
      <c r="C19" s="4" t="s">
        <v>15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25" t="str" cm="1">
        <f t="array" ref="N19">_xlfn.IFS(M19=5,1,M19=4,2,M19=3,3,M19=2,4,M19=1,5,M18&lt;$D$18,"Too Fast",M18="DQ","DQ")</f>
        <v>Too Fast</v>
      </c>
      <c r="O19" s="31" t="b">
        <v>0</v>
      </c>
    </row>
    <row r="20" spans="1:15" x14ac:dyDescent="0.3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1"/>
      <c r="O20" s="28"/>
    </row>
    <row r="21" spans="1:15" x14ac:dyDescent="0.3">
      <c r="A21" s="7"/>
      <c r="B21" s="8"/>
      <c r="C21" s="4" t="s">
        <v>15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25" t="str" cm="1">
        <f t="array" ref="N21">_xlfn.IFS(M21=5,1,M21=4,2,M21=3,3,M21=2,4,M21=1,5,M20&lt;$D$20,"Too Fast",M20="DQ","DQ")</f>
        <v>Too Fast</v>
      </c>
      <c r="O21" s="31" t="b">
        <v>0</v>
      </c>
    </row>
    <row r="22" spans="1:15" x14ac:dyDescent="0.3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1"/>
      <c r="O22" s="28"/>
    </row>
    <row r="23" spans="1:15" x14ac:dyDescent="0.3">
      <c r="A23" s="7"/>
      <c r="B23" s="8"/>
      <c r="C23" s="4" t="s">
        <v>15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25" t="str" cm="1">
        <f t="array" ref="N23">_xlfn.IFS(M23=5,1,M23=4,2,M23=3,3,M23=2,4,M23=1,5,M22&lt;$D$22,"Too Fast",M22="DQ","DQ")</f>
        <v>Too Fast</v>
      </c>
      <c r="O23" s="31" t="b">
        <v>0</v>
      </c>
    </row>
    <row r="24" spans="1:15" x14ac:dyDescent="0.3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1"/>
      <c r="O24" s="28"/>
    </row>
    <row r="25" spans="1:15" x14ac:dyDescent="0.3">
      <c r="A25" s="7"/>
      <c r="B25" s="8"/>
      <c r="C25" s="4" t="s">
        <v>15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25" t="str" cm="1">
        <f t="array" ref="N25">_xlfn.IFS(M25=5,1,M25=4,2,M25=3,3,M25=2,4,M25=1,5,M24&lt;$D$24,"Too Fast",M24="DQ","DQ")</f>
        <v>Too Fast</v>
      </c>
      <c r="O25" s="31" t="b">
        <v>0</v>
      </c>
    </row>
    <row r="26" spans="1:15" x14ac:dyDescent="0.3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29"/>
      <c r="O26" s="28"/>
    </row>
    <row r="27" spans="1:15" x14ac:dyDescent="0.3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1"/>
      <c r="O27" s="28"/>
    </row>
    <row r="28" spans="1:15" x14ac:dyDescent="0.3">
      <c r="A28" s="7"/>
      <c r="B28" s="8"/>
      <c r="C28" s="4" t="s">
        <v>15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25" t="str" cm="1">
        <f t="array" ref="N28">_xlfn.IFS(M28=5,1,M28=4,2,M28=3,3,M28=2,4,M28=1,5,M27&lt;$D$27,"Too Fast",M27="DQ","DQ")</f>
        <v>Too Fast</v>
      </c>
      <c r="O28" s="31" t="b">
        <v>0</v>
      </c>
    </row>
    <row r="29" spans="1:15" x14ac:dyDescent="0.3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1"/>
      <c r="O29" s="28"/>
    </row>
    <row r="30" spans="1:15" x14ac:dyDescent="0.3">
      <c r="A30" s="7"/>
      <c r="B30" s="8"/>
      <c r="C30" s="4" t="s">
        <v>15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25" t="str" cm="1">
        <f t="array" ref="N30">_xlfn.IFS(M30=5,1,M30=4,2,M30=3,3,M30=2,4,M30=1,5,M29&lt;$D$29,"Too Fast",M29="DQ","DQ")</f>
        <v>Too Fast</v>
      </c>
      <c r="O30" s="31" t="b">
        <v>0</v>
      </c>
    </row>
    <row r="31" spans="1:15" x14ac:dyDescent="0.3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3"/>
      <c r="O31" s="28"/>
    </row>
    <row r="32" spans="1:15" x14ac:dyDescent="0.3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25" t="str" cm="1">
        <f t="array" ref="N32">_xlfn.IFS(M32=5,1,M32=4,2,M32=3,3,M32=2,4,M32=1,5,M31&lt;$D$31,"Too Fast",M31="DQ","DQ")</f>
        <v>Too Fast</v>
      </c>
      <c r="O32" s="31" t="b">
        <v>0</v>
      </c>
    </row>
    <row r="33" spans="1:24" x14ac:dyDescent="0.3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1"/>
      <c r="O33" s="28"/>
    </row>
    <row r="34" spans="1:24" x14ac:dyDescent="0.3">
      <c r="A34" s="7"/>
      <c r="B34" s="8"/>
      <c r="C34" s="4" t="s">
        <v>15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25" t="str" cm="1">
        <f t="array" ref="N34">_xlfn.IFS(M34=5,1,M34=4,2,M34=3,3,M34=2,4,M34=1,5,M33&lt;$D$33,"Too Fast",M33="DQ","DQ")</f>
        <v>Too Fast</v>
      </c>
      <c r="O34" s="31" t="b">
        <v>0</v>
      </c>
    </row>
    <row r="35" spans="1:24" x14ac:dyDescent="0.3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1"/>
      <c r="O35" s="28"/>
    </row>
    <row r="36" spans="1:24" x14ac:dyDescent="0.3">
      <c r="A36" s="7"/>
      <c r="B36" s="8"/>
      <c r="C36" s="4" t="s">
        <v>15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25" t="str" cm="1">
        <f t="array" ref="N36">_xlfn.IFS(M36=5,1,M36=4,2,M36=3,3,M36=2,4,M36=1,5,M35&lt;$D$35,"Too Fast",M35="DQ","DQ")</f>
        <v>Too Fast</v>
      </c>
      <c r="O36" s="31" t="b">
        <v>0</v>
      </c>
    </row>
    <row r="37" spans="1:24" x14ac:dyDescent="0.3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1"/>
      <c r="O37" s="28"/>
    </row>
    <row r="38" spans="1:24" x14ac:dyDescent="0.3">
      <c r="A38" s="7"/>
      <c r="B38" s="8"/>
      <c r="C38" s="4" t="s">
        <v>15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25" t="str" cm="1">
        <f t="array" ref="N38">_xlfn.IFS(M38=5,1,M38=4,2,M38=3,3,M38=2,4,M38=1,5,M37&lt;$D$37,"Too Fast",M37="DQ","DQ")</f>
        <v>Too Fast</v>
      </c>
      <c r="O38" s="31" t="b">
        <v>0</v>
      </c>
    </row>
    <row r="39" spans="1:24" x14ac:dyDescent="0.3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1"/>
      <c r="O39" s="28"/>
    </row>
    <row r="40" spans="1:24" x14ac:dyDescent="0.3">
      <c r="A40" s="7"/>
      <c r="B40" s="8"/>
      <c r="C40" s="4" t="s">
        <v>15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25" t="str" cm="1">
        <f t="array" ref="N40">_xlfn.IFS(M40=5,1,M40=4,2,M40=3,3,M40=2,4,M40=1,5,M39&lt;$D$39,"Too Fast",M39="DQ","DQ")</f>
        <v>Too Fast</v>
      </c>
      <c r="O40" s="31" t="b">
        <v>0</v>
      </c>
    </row>
    <row r="41" spans="1:24" x14ac:dyDescent="0.3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1"/>
      <c r="O41" s="28"/>
      <c r="T41" s="23"/>
    </row>
    <row r="42" spans="1:24" x14ac:dyDescent="0.3">
      <c r="A42" s="7"/>
      <c r="B42" s="8"/>
      <c r="C42" s="4" t="s">
        <v>15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25" t="str" cm="1">
        <f t="array" ref="N42">_xlfn.IFS(M42=5,1,M42=4,2,M42=3,3,M42=2,4,M42=1,5,M41&lt;$D$41,"Too Fast",M41="DQ","DQ")</f>
        <v>Too Fast</v>
      </c>
      <c r="O42" s="31" t="b">
        <v>0</v>
      </c>
      <c r="T42" s="23"/>
      <c r="U42" s="23"/>
      <c r="V42" s="23"/>
      <c r="W42" s="23"/>
      <c r="X42" s="23"/>
    </row>
    <row r="43" spans="1:24" x14ac:dyDescent="0.3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1"/>
      <c r="O43" s="28"/>
      <c r="S43" s="24"/>
    </row>
    <row r="44" spans="1:24" x14ac:dyDescent="0.3">
      <c r="A44" s="7"/>
      <c r="B44" s="8"/>
      <c r="C44" s="4" t="s">
        <v>15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25" t="str" cm="1">
        <f t="array" ref="N44">_xlfn.IFS(M44=5,1,M44=4,2,M44=3,3,M44=2,4,M44=1,5,M43&lt;$D$43,"Too Fast",M43="DQ","DQ")</f>
        <v>Too Fast</v>
      </c>
      <c r="O44" s="31" t="b">
        <v>0</v>
      </c>
      <c r="S44" s="24"/>
    </row>
    <row r="45" spans="1:24" x14ac:dyDescent="0.3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1"/>
      <c r="O45" s="28"/>
      <c r="S45" s="24"/>
    </row>
    <row r="46" spans="1:24" x14ac:dyDescent="0.3">
      <c r="A46" s="7"/>
      <c r="B46" s="8"/>
      <c r="C46" s="4" t="s">
        <v>15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25" t="str" cm="1">
        <f t="array" ref="N46">_xlfn.IFS(M46=5,1,M46=4,2,M46=3,3,M46=2,4,M46=1,5,M45&lt;$D$45,"Too Fast",M45="DQ","DQ")</f>
        <v>Too Fast</v>
      </c>
      <c r="O46" s="31" t="b">
        <v>0</v>
      </c>
      <c r="S46" s="24"/>
    </row>
    <row r="47" spans="1:24" x14ac:dyDescent="0.3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29"/>
      <c r="O47" s="28"/>
      <c r="S47" s="24"/>
    </row>
    <row r="48" spans="1:24" x14ac:dyDescent="0.3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1"/>
      <c r="O48" s="28"/>
      <c r="S48" s="24"/>
    </row>
    <row r="49" spans="1:19" x14ac:dyDescent="0.3">
      <c r="A49" s="7"/>
      <c r="B49" s="8"/>
      <c r="C49" s="4" t="s">
        <v>15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25" t="str" cm="1">
        <f t="array" ref="N49">_xlfn.IFS(M49=5,1,M49=4,2,M49=3,3,M49=2,4,M49=1,5,M48&lt;$D$48,"Too Fast",M48="DQ","DQ")</f>
        <v>Too Fast</v>
      </c>
      <c r="O49" s="31" t="b">
        <v>0</v>
      </c>
      <c r="S49" s="24"/>
    </row>
    <row r="50" spans="1:19" x14ac:dyDescent="0.3">
      <c r="A50" s="5">
        <v>22</v>
      </c>
      <c r="B50" s="10" t="s">
        <v>52</v>
      </c>
      <c r="C50" s="2" t="s">
        <v>32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1"/>
      <c r="O50" s="28"/>
      <c r="S50" s="24"/>
    </row>
    <row r="51" spans="1:19" x14ac:dyDescent="0.3">
      <c r="A51" s="7"/>
      <c r="B51" s="8"/>
      <c r="C51" s="4" t="s">
        <v>15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25" t="str" cm="1">
        <f t="array" ref="N51">_xlfn.IFS(M51=5,1,M51=4,2,M51=3,3,M51=2,4,M51=1,5,M50&lt;$D$50,"Too Fast",M50="DQ","DQ")</f>
        <v>Too Fast</v>
      </c>
      <c r="O51" s="31" t="b">
        <v>0</v>
      </c>
      <c r="S51" s="24"/>
    </row>
    <row r="52" spans="1:19" x14ac:dyDescent="0.3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1"/>
      <c r="O52" s="28"/>
      <c r="S52" s="24"/>
    </row>
    <row r="53" spans="1:19" x14ac:dyDescent="0.3">
      <c r="A53" s="7"/>
      <c r="B53" s="8"/>
      <c r="C53" s="4" t="s">
        <v>15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25" t="str" cm="1">
        <f t="array" ref="N53">_xlfn.IFS(M53=5,1,M53=4,2,M53=3,3,M53=2,4,M53=1,5,M52&lt;$D$52,"Too Fast",M52="DQ","DQ")</f>
        <v>Too Fast</v>
      </c>
      <c r="O53" s="31" t="b">
        <v>0</v>
      </c>
      <c r="S53" s="24"/>
    </row>
    <row r="54" spans="1:19" x14ac:dyDescent="0.3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1"/>
      <c r="O54" s="28"/>
      <c r="S54" s="24"/>
    </row>
    <row r="55" spans="1:19" x14ac:dyDescent="0.3">
      <c r="A55" s="7"/>
      <c r="B55" s="8"/>
      <c r="C55" s="4" t="s">
        <v>15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25" t="str" cm="1">
        <f t="array" ref="N55">_xlfn.IFS(M55=5,1,M55=4,2,M55=3,3,M55=2,4,M55=1,5,M54&lt;$D$54,"Too Fast",M54="DQ","DQ")</f>
        <v>Too Fast</v>
      </c>
      <c r="O55" s="31" t="b">
        <v>0</v>
      </c>
      <c r="S55" s="24"/>
    </row>
    <row r="56" spans="1:19" x14ac:dyDescent="0.3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1"/>
      <c r="O56" s="28"/>
      <c r="S56" s="24"/>
    </row>
    <row r="57" spans="1:19" x14ac:dyDescent="0.3">
      <c r="A57" s="7"/>
      <c r="B57" s="8"/>
      <c r="C57" s="4" t="s">
        <v>15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25" t="str" cm="1">
        <f t="array" ref="N57">_xlfn.IFS(M57=5,1,M57=4,2,M57=3,3,M57=2,4,M57=1,5,M56&lt;$D$56,"Too Fast",M56="DQ","DQ")</f>
        <v>Too Fast</v>
      </c>
      <c r="O57" s="31" t="b">
        <v>0</v>
      </c>
      <c r="S57" s="24"/>
    </row>
    <row r="58" spans="1:19" x14ac:dyDescent="0.3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1"/>
      <c r="O58" s="28"/>
      <c r="S58" s="24"/>
    </row>
    <row r="59" spans="1:19" x14ac:dyDescent="0.3">
      <c r="A59" s="7"/>
      <c r="B59" s="8"/>
      <c r="C59" s="4" t="s">
        <v>15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25" t="str" cm="1">
        <f t="array" ref="N59">_xlfn.IFS(M59=5,1,M59=4,2,M59=3,3,M59=2,4,M59=1,5,M58&lt;$D$58,"Too Fast",M58="DQ","DQ")</f>
        <v>Too Fast</v>
      </c>
      <c r="O59" s="31" t="b">
        <v>0</v>
      </c>
      <c r="S59" s="24"/>
    </row>
    <row r="60" spans="1:19" x14ac:dyDescent="0.3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1"/>
      <c r="O60" s="28"/>
      <c r="S60" s="24"/>
    </row>
    <row r="61" spans="1:19" x14ac:dyDescent="0.3">
      <c r="A61" s="7"/>
      <c r="B61" s="8"/>
      <c r="C61" s="4" t="s">
        <v>15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25" t="str" cm="1">
        <f t="array" ref="N61">_xlfn.IFS(M61=5,1,M61=4,2,M61=3,3,M61=2,4,M61=1,5,M60&lt;$D$60,"Too Fast",M60="DQ","DQ")</f>
        <v>Too Fast</v>
      </c>
      <c r="O61" s="31" t="b">
        <v>0</v>
      </c>
      <c r="S61" s="24"/>
    </row>
    <row r="62" spans="1:19" x14ac:dyDescent="0.3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1"/>
      <c r="O62" s="28"/>
      <c r="S62" s="24"/>
    </row>
    <row r="63" spans="1:19" x14ac:dyDescent="0.3">
      <c r="A63" s="7"/>
      <c r="B63" s="8"/>
      <c r="C63" s="4" t="s">
        <v>15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25" t="str" cm="1">
        <f t="array" ref="N63">_xlfn.IFS(M63=5,1,M63=4,2,M63=3,3,M63=2,4,M63=1,5,M62&lt;$D$62,"Too Fast",M62="DQ","DQ")</f>
        <v>Too Fast</v>
      </c>
      <c r="O63" s="31" t="b">
        <v>0</v>
      </c>
      <c r="S63" s="24"/>
    </row>
    <row r="64" spans="1:19" x14ac:dyDescent="0.3">
      <c r="A64" s="5">
        <v>29</v>
      </c>
      <c r="B64" s="10" t="s">
        <v>60</v>
      </c>
      <c r="C64" s="2" t="s">
        <v>32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1"/>
      <c r="O64" s="28"/>
      <c r="S64" s="24"/>
    </row>
    <row r="65" spans="1:19" x14ac:dyDescent="0.3">
      <c r="A65" s="7"/>
      <c r="B65" s="8"/>
      <c r="C65" s="4" t="s">
        <v>15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25" t="str" cm="1">
        <f t="array" ref="N65">_xlfn.IFS(M65=5,1,M65=4,2,M65=3,3,M65=2,4,M65=1,5,M64&lt;$D$64,"Too Fast",M64="DQ","DQ")</f>
        <v>Too Fast</v>
      </c>
      <c r="O65" s="31" t="b">
        <v>0</v>
      </c>
      <c r="S65" s="24"/>
    </row>
    <row r="66" spans="1:19" x14ac:dyDescent="0.3">
      <c r="A66" s="5">
        <v>30</v>
      </c>
      <c r="B66" s="10" t="s">
        <v>61</v>
      </c>
      <c r="C66" s="2" t="s">
        <v>32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1"/>
      <c r="O66" s="28"/>
      <c r="S66" s="24"/>
    </row>
    <row r="67" spans="1:19" x14ac:dyDescent="0.3">
      <c r="A67" s="7"/>
      <c r="B67" s="8"/>
      <c r="C67" s="4" t="s">
        <v>15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25" t="str" cm="1">
        <f t="array" ref="N67">_xlfn.IFS(M67=5,1,M67=4,2,M67=3,3,M67=2,4,M67=1,5,M66&lt;$D$66,"Too Fast",M66="DQ","DQ")</f>
        <v>Too Fast</v>
      </c>
      <c r="O67" s="31" t="b">
        <v>0</v>
      </c>
      <c r="S67" s="24"/>
    </row>
    <row r="68" spans="1:19" x14ac:dyDescent="0.3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29"/>
      <c r="O68" s="28"/>
      <c r="S68" s="24"/>
    </row>
    <row r="69" spans="1:19" x14ac:dyDescent="0.3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3"/>
      <c r="O69" s="28"/>
      <c r="S69" s="24"/>
    </row>
    <row r="70" spans="1:19" x14ac:dyDescent="0.3">
      <c r="A70" s="7"/>
      <c r="B70" s="8"/>
      <c r="C70" s="4" t="s">
        <v>15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25" t="str" cm="1">
        <f t="array" ref="N70">_xlfn.IFS(M70=5,1,M70=4,2,M70=3,3,M70=2,4,M70=1,5,M69&lt;$D$69,"Too Fast",M69="DQ","DQ")</f>
        <v>Too Fast</v>
      </c>
      <c r="O70" s="31" t="b">
        <v>0</v>
      </c>
      <c r="S70" s="24"/>
    </row>
    <row r="71" spans="1:19" x14ac:dyDescent="0.3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3"/>
      <c r="O71" s="28"/>
      <c r="S71" s="24"/>
    </row>
    <row r="72" spans="1:19" x14ac:dyDescent="0.3">
      <c r="A72" s="7"/>
      <c r="B72" s="8"/>
      <c r="C72" s="4" t="s">
        <v>15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25" t="str" cm="1">
        <f t="array" ref="N72">_xlfn.IFS(M72=5,1,M72=4,2,M72=3,3,M72=2,4,M72=1,5,M71&lt;$D$71,"Too Fast",M71="DQ","DQ")</f>
        <v>Too Fast</v>
      </c>
      <c r="O72" s="31" t="b">
        <v>0</v>
      </c>
      <c r="S72" s="24"/>
    </row>
    <row r="73" spans="1:19" x14ac:dyDescent="0.3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3"/>
      <c r="O73" s="28"/>
    </row>
    <row r="74" spans="1:19" x14ac:dyDescent="0.3">
      <c r="A74" s="7"/>
      <c r="B74" s="8"/>
      <c r="C74" s="4" t="s">
        <v>15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25" t="str" cm="1">
        <f t="array" ref="N74">_xlfn.IFS(M74=5,1,M74=4,2,M74=3,3,M74=2,4,M74=1,5,M73&lt;$D$73,"Too Fast",M73="DQ","DQ")</f>
        <v>Too Fast</v>
      </c>
      <c r="O74" s="31" t="b">
        <v>0</v>
      </c>
    </row>
    <row r="75" spans="1:19" x14ac:dyDescent="0.3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3"/>
      <c r="O75" s="28"/>
    </row>
    <row r="76" spans="1:19" x14ac:dyDescent="0.3">
      <c r="A76" s="7"/>
      <c r="B76" s="8"/>
      <c r="C76" s="4" t="s">
        <v>15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25" t="str" cm="1">
        <f t="array" ref="N76">_xlfn.IFS(M76=5,1,M76=4,2,M76=3,3,M76=2,4,M76=1,5,M75&lt;$D$75,"Too Fast",M75="DQ","DQ")</f>
        <v>Too Fast</v>
      </c>
      <c r="O76" s="31" t="b">
        <v>0</v>
      </c>
    </row>
    <row r="77" spans="1:19" x14ac:dyDescent="0.3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3"/>
      <c r="O77" s="28"/>
    </row>
    <row r="78" spans="1:19" x14ac:dyDescent="0.3">
      <c r="A78" s="7"/>
      <c r="B78" s="8"/>
      <c r="C78" s="4" t="s">
        <v>15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25" t="str" cm="1">
        <f t="array" ref="N78">_xlfn.IFS(M78=5,1,M78=4,2,M78=3,3,M78=2,4,M78=1,5,M77&lt;$D$77,"Too Fast",M77="DQ","DQ")</f>
        <v>Too Fast</v>
      </c>
      <c r="O78" s="31" t="b">
        <v>0</v>
      </c>
    </row>
    <row r="79" spans="1:19" x14ac:dyDescent="0.3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3"/>
      <c r="O79" s="28"/>
    </row>
    <row r="80" spans="1:19" x14ac:dyDescent="0.3">
      <c r="A80" s="7"/>
      <c r="B80" s="8"/>
      <c r="C80" s="4" t="s">
        <v>15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25" t="str" cm="1">
        <f t="array" ref="N80">_xlfn.IFS(M80=5,1,M80=4,2,M80=3,3,M80=2,4,M80=1,5,M79&lt;$D$79,"Too Fast",M79="DQ","DQ")</f>
        <v>Too Fast</v>
      </c>
      <c r="O80" s="31" t="b">
        <v>0</v>
      </c>
    </row>
    <row r="81" spans="1:15" x14ac:dyDescent="0.3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3"/>
      <c r="O81" s="28"/>
    </row>
    <row r="82" spans="1:15" x14ac:dyDescent="0.3">
      <c r="A82" s="7"/>
      <c r="B82" s="8"/>
      <c r="C82" s="4" t="s">
        <v>15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25" t="str" cm="1">
        <f t="array" ref="N82">_xlfn.IFS(M82=5,1,M82=4,2,M82=3,3,M82=2,4,M82=1,5,M81&lt;$D$81,"Too Fast",M81="DQ","DQ")</f>
        <v>Too Fast</v>
      </c>
      <c r="O82" s="31" t="b">
        <v>0</v>
      </c>
    </row>
    <row r="83" spans="1:15" x14ac:dyDescent="0.3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3"/>
      <c r="O83" s="28"/>
    </row>
    <row r="84" spans="1:15" x14ac:dyDescent="0.3">
      <c r="A84" s="7"/>
      <c r="B84" s="8"/>
      <c r="C84" s="4" t="s">
        <v>15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25" t="str" cm="1">
        <f t="array" ref="N84">_xlfn.IFS(M84=5,1,M84=4,2,M84=3,3,M84=2,4,M84=1,5,M83&lt;$D$83,"Too Fast",M83="DQ","DQ")</f>
        <v>Too Fast</v>
      </c>
      <c r="O84" s="31" t="b">
        <v>0</v>
      </c>
    </row>
    <row r="85" spans="1:15" x14ac:dyDescent="0.3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3"/>
      <c r="O85" s="28"/>
    </row>
    <row r="86" spans="1:15" x14ac:dyDescent="0.3">
      <c r="A86" s="7"/>
      <c r="B86" s="8"/>
      <c r="C86" s="4" t="s">
        <v>15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25" t="str" cm="1">
        <f t="array" ref="N86">_xlfn.IFS(M86=5,1,M86=4,2,M86=3,3,M86=2,4,M86=1,5,M85&lt;$D$85,"Too Fast",M85="DQ","DQ")</f>
        <v>Too Fast</v>
      </c>
      <c r="O86" s="31" t="b">
        <v>0</v>
      </c>
    </row>
    <row r="87" spans="1:15" x14ac:dyDescent="0.3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3"/>
      <c r="O87" s="28"/>
    </row>
    <row r="88" spans="1:15" x14ac:dyDescent="0.3">
      <c r="A88" s="7"/>
      <c r="B88" s="8"/>
      <c r="C88" s="4" t="s">
        <v>15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25" t="str" cm="1">
        <f t="array" ref="N88">_xlfn.IFS(M88=5,1,M88=4,2,M88=3,3,M88=2,4,M88=1,5,M87&lt;$D$87,"Too Fast",M87="DQ","DQ")</f>
        <v>Too Fast</v>
      </c>
      <c r="O88" s="31" t="b">
        <v>0</v>
      </c>
    </row>
    <row r="89" spans="1:15" x14ac:dyDescent="0.3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29"/>
      <c r="O89" s="28"/>
    </row>
    <row r="90" spans="1:15" x14ac:dyDescent="0.3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3"/>
      <c r="O90" s="28"/>
    </row>
    <row r="91" spans="1:15" x14ac:dyDescent="0.3">
      <c r="A91" s="7"/>
      <c r="B91" s="8"/>
      <c r="C91" s="4" t="s">
        <v>15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25" t="str" cm="1">
        <f t="array" ref="N91">_xlfn.IFS(M91=5,1,M91=4,2,M91=3,3,M91=2,4,M91=1,5,M90&lt;$D$90,"Too Fast",M90="DQ","DQ")</f>
        <v>Too Fast</v>
      </c>
      <c r="O91" s="31" t="b">
        <v>0</v>
      </c>
    </row>
    <row r="92" spans="1:15" x14ac:dyDescent="0.3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3"/>
      <c r="O92" s="28"/>
    </row>
    <row r="93" spans="1:15" x14ac:dyDescent="0.3">
      <c r="A93" s="7"/>
      <c r="B93" s="8"/>
      <c r="C93" s="4" t="s">
        <v>15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25" t="str" cm="1">
        <f t="array" ref="N93">_xlfn.IFS(M93=5,1,M93=4,2,M93=3,3,M93=2,4,M93=1,5,M92&lt;$D$92,"Too Fast",M92="DQ","DQ")</f>
        <v>Too Fast</v>
      </c>
      <c r="O93" s="31" t="b">
        <v>0</v>
      </c>
    </row>
    <row r="94" spans="1:15" x14ac:dyDescent="0.3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3"/>
      <c r="O94" s="28"/>
    </row>
    <row r="95" spans="1:15" x14ac:dyDescent="0.3">
      <c r="A95" s="8"/>
      <c r="B95" s="8"/>
      <c r="C95" s="4" t="s">
        <v>15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25" t="str" cm="1">
        <f t="array" ref="N95">_xlfn.IFS(M95=5,1,M95=4,2,M95=3,3,M95=2,4,M95=1,5,M94&lt;$D$94,"Too Fast",M94="DQ","DQ")</f>
        <v>Too Fast</v>
      </c>
      <c r="O95" s="31" t="b">
        <v>0</v>
      </c>
    </row>
    <row r="96" spans="1:15" x14ac:dyDescent="0.3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3"/>
      <c r="O96" s="28"/>
    </row>
    <row r="97" spans="1:15" x14ac:dyDescent="0.3">
      <c r="A97" s="7"/>
      <c r="B97" s="8"/>
      <c r="C97" s="4" t="s">
        <v>15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25" t="str" cm="1">
        <f t="array" ref="N97">_xlfn.IFS(M97=5,1,M97=4,2,M97=3,3,M97=2,4,M97=1,5,M96&lt;$D$96,"Too Fast",M96="DQ","DQ")</f>
        <v>Too Fast</v>
      </c>
      <c r="O97" s="31" t="b">
        <v>0</v>
      </c>
    </row>
    <row r="98" spans="1:15" x14ac:dyDescent="0.3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3"/>
      <c r="O98" s="28"/>
    </row>
    <row r="99" spans="1:15" x14ac:dyDescent="0.3">
      <c r="A99" s="7"/>
      <c r="B99" s="8"/>
      <c r="C99" s="4" t="s">
        <v>15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25" t="str" cm="1">
        <f t="array" ref="N99">_xlfn.IFS(M99=5,1,M99=4,2,M99=3,3,M99=2,4,M99=1,5,M98&lt;$D$98,"Too Fast",M98="DQ","DQ")</f>
        <v>Too Fast</v>
      </c>
      <c r="O99" s="31" t="b">
        <v>0</v>
      </c>
    </row>
    <row r="100" spans="1:15" x14ac:dyDescent="0.3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3"/>
      <c r="O100" s="28"/>
    </row>
    <row r="101" spans="1:15" x14ac:dyDescent="0.3">
      <c r="A101" s="8"/>
      <c r="B101" s="8"/>
      <c r="C101" s="4" t="s">
        <v>15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25" t="str" cm="1">
        <f t="array" ref="N101">_xlfn.IFS(M101=5,1,M101=4,2,M101=3,3,M101=2,4,M101=1,5,M100&lt;$D$100,"Too Fast",M100="DQ","DQ")</f>
        <v>Too Fast</v>
      </c>
      <c r="O101" s="31" t="b">
        <v>0</v>
      </c>
    </row>
    <row r="102" spans="1:15" x14ac:dyDescent="0.3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3"/>
      <c r="O102" s="28"/>
    </row>
    <row r="103" spans="1:15" x14ac:dyDescent="0.3">
      <c r="A103" s="7"/>
      <c r="B103" s="8"/>
      <c r="C103" s="4" t="s">
        <v>15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25" t="str" cm="1">
        <f t="array" ref="N103">_xlfn.IFS(M103=5,1,M103=4,2,M103=3,3,M103=2,4,M103=1,5,M102&lt;$D$102,"Too Fast",M102="DQ","DQ")</f>
        <v>Too Fast</v>
      </c>
      <c r="O103" s="31" t="b">
        <v>0</v>
      </c>
    </row>
    <row r="104" spans="1:15" x14ac:dyDescent="0.3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3"/>
      <c r="O104" s="28"/>
    </row>
    <row r="105" spans="1:15" x14ac:dyDescent="0.3">
      <c r="A105" s="7"/>
      <c r="B105" s="8"/>
      <c r="C105" s="4" t="s">
        <v>15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25" t="str" cm="1">
        <f t="array" ref="N105">_xlfn.IFS(M105=5,1,M105=4,2,M105=3,3,M105=2,4,M105=1,5,M104&lt;$D$104,"Too Fast",M104="DQ","DQ")</f>
        <v>Too Fast</v>
      </c>
      <c r="O105" s="31" t="b">
        <v>0</v>
      </c>
    </row>
    <row r="106" spans="1:15" x14ac:dyDescent="0.3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3"/>
      <c r="O106" s="28"/>
    </row>
    <row r="107" spans="1:15" x14ac:dyDescent="0.3">
      <c r="A107" s="8"/>
      <c r="B107" s="8"/>
      <c r="C107" s="4" t="s">
        <v>15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25" t="str" cm="1">
        <f t="array" ref="N107">_xlfn.IFS(M107=5,1,M107=4,2,M107=3,3,M107=2,4,M107=1,5,M106&lt;$D$106,"Too Fast",M106="DQ","DQ")</f>
        <v>Too Fast</v>
      </c>
      <c r="O107" s="31" t="b">
        <v>0</v>
      </c>
    </row>
    <row r="108" spans="1:15" x14ac:dyDescent="0.3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3"/>
      <c r="O108" s="28"/>
    </row>
    <row r="109" spans="1:15" x14ac:dyDescent="0.3">
      <c r="A109" s="7"/>
      <c r="B109" s="8"/>
      <c r="C109" s="4" t="s">
        <v>15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25" t="str" cm="1">
        <f t="array" ref="N109">_xlfn.IFS(M109=5,1,M109=4,2,M109=3,3,M109=2,4,M109=1,5,M108&lt;$D$108,"Too Fast",M108="DQ","DQ")</f>
        <v>Too Fast</v>
      </c>
      <c r="O109" s="31" t="b">
        <v>0</v>
      </c>
    </row>
    <row r="110" spans="1:15" x14ac:dyDescent="0.3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3"/>
      <c r="O110" s="28"/>
    </row>
    <row r="111" spans="1:15" x14ac:dyDescent="0.3">
      <c r="A111" s="7"/>
      <c r="B111" s="8"/>
      <c r="C111" s="4" t="s">
        <v>15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25" t="str" cm="1">
        <f t="array" ref="N111">_xlfn.IFS(M111=5,1,M111=4,2,M111=3,3,M111=2,4,M111=1,5,M110&lt;$D$110,"Too Fast",M110="DQ","DQ")</f>
        <v>Too Fast</v>
      </c>
      <c r="O111" s="31" t="b">
        <v>0</v>
      </c>
    </row>
    <row r="112" spans="1:15" x14ac:dyDescent="0.3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3"/>
      <c r="O112" s="28"/>
    </row>
    <row r="113" spans="1:15" x14ac:dyDescent="0.3">
      <c r="A113" s="7"/>
      <c r="B113" s="8"/>
      <c r="C113" s="4" t="s">
        <v>15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25" t="str" cm="1">
        <f t="array" ref="N113">_xlfn.IFS(M113=5,1,M113=4,2,M113=3,3,M113=2,4,M113=1,5,M112&lt;$D$112,"Too Fast",M112="DQ","DQ")</f>
        <v>Too Fast</v>
      </c>
      <c r="O113" s="31" t="b">
        <v>0</v>
      </c>
    </row>
    <row r="114" spans="1:15" x14ac:dyDescent="0.3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3"/>
      <c r="O114" s="28"/>
    </row>
    <row r="115" spans="1:15" x14ac:dyDescent="0.3">
      <c r="A115" s="8"/>
      <c r="B115" s="8"/>
      <c r="C115" s="4" t="s">
        <v>15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25" t="str" cm="1">
        <f t="array" ref="N115">_xlfn.IFS(M115=5,1,M115=4,2,M115=3,3,M115=2,4,M115=1,5,M114&lt;$D$114,"Too Fast",M114="DQ","DQ")</f>
        <v>Too Fast</v>
      </c>
      <c r="O115" s="31" t="b">
        <v>0</v>
      </c>
    </row>
    <row r="116" spans="1:15" x14ac:dyDescent="0.3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29"/>
      <c r="O116" s="28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12" priority="3" operator="containsText" text="02.">
      <formula>NOT(ISERROR(SEARCH("02.",E6)))</formula>
    </cfRule>
    <cfRule type="containsText" dxfId="11" priority="4" operator="containsText" text="01.">
      <formula>NOT(ISERROR(SEARCH("01.",E6)))</formula>
    </cfRule>
    <cfRule type="containsText" dxfId="10" priority="5" operator="containsText" text="00.">
      <formula>NOT(ISERROR(SEARCH("00.",E6)))</formula>
    </cfRule>
  </conditionalFormatting>
  <conditionalFormatting sqref="O1:O1048576">
    <cfRule type="containsText" dxfId="9" priority="1" operator="containsText" text="TRUE">
      <formula>NOT(ISERROR(SEARCH("TRUE",O1)))</formula>
    </cfRule>
    <cfRule type="containsText" dxfId="8" priority="2" operator="containsText" text="FALSE">
      <formula>NOT(ISERROR(SEARCH("FALSE",O1)))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K1" zoomScale="80" zoomScaleNormal="80" workbookViewId="0">
      <selection activeCell="S1" sqref="S1:S1048576"/>
    </sheetView>
  </sheetViews>
  <sheetFormatPr defaultColWidth="9" defaultRowHeight="14.4" x14ac:dyDescent="0.3"/>
  <cols>
    <col min="1" max="1" width="9.6640625" bestFit="1" customWidth="1"/>
    <col min="2" max="2" width="28" bestFit="1" customWidth="1"/>
    <col min="3" max="3" width="13.109375" bestFit="1" customWidth="1"/>
    <col min="4" max="4" width="12.44140625" bestFit="1" customWidth="1"/>
    <col min="5" max="18" width="10.33203125" customWidth="1"/>
    <col min="19" max="19" width="20.44140625" bestFit="1" customWidth="1"/>
    <col min="20" max="20" width="3.44140625" customWidth="1"/>
    <col min="21" max="21" width="14.44140625" customWidth="1"/>
    <col min="22" max="22" width="24" customWidth="1"/>
    <col min="23" max="23" width="9.6640625" bestFit="1" customWidth="1"/>
    <col min="24" max="24" width="10.33203125" bestFit="1" customWidth="1"/>
    <col min="25" max="31" width="10.5546875" bestFit="1" customWidth="1"/>
    <col min="33" max="33" width="12.44140625" customWidth="1"/>
  </cols>
  <sheetData>
    <row r="1" spans="1:33" ht="18" x14ac:dyDescent="0.35">
      <c r="A1" s="50" t="s">
        <v>105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3" x14ac:dyDescent="0.3">
      <c r="U2" s="49" t="s">
        <v>14</v>
      </c>
      <c r="V2" s="49"/>
      <c r="W2" s="49"/>
      <c r="X2" s="49"/>
      <c r="Y2" s="49"/>
      <c r="Z2" s="49"/>
      <c r="AA2" s="49"/>
      <c r="AB2" s="49"/>
      <c r="AC2" s="49"/>
      <c r="AD2" s="49"/>
      <c r="AE2" s="18"/>
      <c r="AF2" s="18"/>
      <c r="AG2" s="2"/>
    </row>
    <row r="3" spans="1:33" x14ac:dyDescent="0.3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4</v>
      </c>
      <c r="L3" s="49"/>
      <c r="M3" s="49" t="s">
        <v>89</v>
      </c>
      <c r="N3" s="49"/>
      <c r="O3" s="49" t="s">
        <v>90</v>
      </c>
      <c r="P3" s="49"/>
      <c r="Q3" s="49" t="s">
        <v>93</v>
      </c>
      <c r="R3" s="49"/>
      <c r="U3" s="8"/>
      <c r="V3" s="8"/>
      <c r="W3" s="17" t="s">
        <v>16</v>
      </c>
      <c r="X3" s="17" t="s">
        <v>17</v>
      </c>
      <c r="Y3" s="17" t="s">
        <v>18</v>
      </c>
      <c r="Z3" s="17" t="s">
        <v>19</v>
      </c>
      <c r="AA3" s="17" t="s">
        <v>91</v>
      </c>
      <c r="AB3" s="17" t="s">
        <v>92</v>
      </c>
      <c r="AC3" s="17" t="s">
        <v>95</v>
      </c>
      <c r="AD3" s="17" t="s">
        <v>20</v>
      </c>
      <c r="AE3" s="40" t="s">
        <v>21</v>
      </c>
      <c r="AF3" s="40" t="s">
        <v>106</v>
      </c>
      <c r="AG3" s="40"/>
    </row>
    <row r="4" spans="1:33" x14ac:dyDescent="0.3">
      <c r="A4" s="53"/>
      <c r="B4" s="53"/>
      <c r="C4" s="53"/>
      <c r="D4" s="53"/>
      <c r="E4" s="54" t="s">
        <v>5</v>
      </c>
      <c r="F4" s="55"/>
      <c r="G4" s="54" t="s">
        <v>5</v>
      </c>
      <c r="H4" s="55"/>
      <c r="I4" s="54" t="s">
        <v>5</v>
      </c>
      <c r="J4" s="55"/>
      <c r="K4" s="54" t="s">
        <v>5</v>
      </c>
      <c r="L4" s="55"/>
      <c r="M4" s="54" t="s">
        <v>5</v>
      </c>
      <c r="N4" s="55"/>
      <c r="O4" s="54" t="s">
        <v>5</v>
      </c>
      <c r="P4" s="55"/>
      <c r="Q4" s="54" t="s">
        <v>5</v>
      </c>
      <c r="R4" s="55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3">
      <c r="A5" s="1" t="s">
        <v>6</v>
      </c>
      <c r="B5" s="1" t="s">
        <v>7</v>
      </c>
      <c r="C5" s="1" t="s">
        <v>8</v>
      </c>
      <c r="D5" s="1" t="s">
        <v>9</v>
      </c>
      <c r="E5" s="47" t="s">
        <v>10</v>
      </c>
      <c r="F5" s="48"/>
      <c r="G5" s="47" t="s">
        <v>10</v>
      </c>
      <c r="H5" s="48"/>
      <c r="I5" s="47" t="s">
        <v>10</v>
      </c>
      <c r="J5" s="48"/>
      <c r="K5" s="49" t="s">
        <v>10</v>
      </c>
      <c r="L5" s="49"/>
      <c r="M5" s="49" t="s">
        <v>10</v>
      </c>
      <c r="N5" s="49"/>
      <c r="O5" s="49" t="s">
        <v>10</v>
      </c>
      <c r="P5" s="49"/>
      <c r="Q5" s="49" t="s">
        <v>10</v>
      </c>
      <c r="R5" s="49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3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2"/>
      <c r="O6" s="41"/>
      <c r="P6" s="42"/>
      <c r="Q6" s="41"/>
      <c r="R6" s="43"/>
      <c r="S6" s="30" t="s">
        <v>13</v>
      </c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3">
      <c r="A7" s="7"/>
      <c r="B7" s="8"/>
      <c r="C7" s="4" t="s">
        <v>15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25" t="str" cm="1">
        <f t="array" ref="R7">_xlfn.IFS(Q7=7,1,Q7=6,2,Q7=5,3,Q7=4,4,Q7=3,5,Q7=2,6,Q7=1,7,Q6&lt;$D$6,"Too Fast",Q6="DQ","DQ")</f>
        <v>Too Fast</v>
      </c>
      <c r="S7" s="31" t="b">
        <v>0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3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2"/>
      <c r="Q8" s="41"/>
      <c r="R8" s="43"/>
      <c r="S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3">
      <c r="A9" s="7"/>
      <c r="B9" s="8"/>
      <c r="C9" s="4" t="s">
        <v>15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25" t="str" cm="1">
        <f t="array" ref="R9">_xlfn.IFS(Q9=7,1,Q9=6,2,Q9=5,3,Q9=4,4,Q9=3,5,Q9=2,6,Q9=1,7,Q8&lt;$D$8,"Too Fast",Q8="DQ","DQ")</f>
        <v>Too Fast</v>
      </c>
      <c r="S9" s="31" t="b">
        <v>0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3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1"/>
      <c r="S10" s="28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3">
      <c r="A11" s="7"/>
      <c r="B11" s="8"/>
      <c r="C11" s="4" t="s">
        <v>15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25" t="str" cm="1">
        <f t="array" ref="R11">_xlfn.IFS(Q11=7,1,Q11=6,2,Q11=5,3,Q11=4,4,Q11=3,5,Q11=2,6,Q11=1,7,Q10&lt;$D$10,"Too Fast",Q10="DQ","DQ")</f>
        <v>Too Fast</v>
      </c>
      <c r="S11" s="31" t="b">
        <v>0</v>
      </c>
    </row>
    <row r="12" spans="1:33" x14ac:dyDescent="0.3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1"/>
      <c r="S12" s="28"/>
    </row>
    <row r="13" spans="1:33" x14ac:dyDescent="0.3">
      <c r="A13" s="7"/>
      <c r="B13" s="8"/>
      <c r="C13" s="4" t="s">
        <v>15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25" t="str" cm="1">
        <f t="array" ref="R13">_xlfn.IFS(Q13=7,1,Q13=6,2,Q13=5,3,Q13=4,4,Q13=3,5,Q13=2,6,Q13=1,7,Q12&lt;$D$12,"Too Fast",Q12="DQ","DQ")</f>
        <v>Too Fast</v>
      </c>
      <c r="S13" s="31" t="b">
        <v>0</v>
      </c>
    </row>
    <row r="14" spans="1:33" x14ac:dyDescent="0.3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1"/>
      <c r="S14" s="28"/>
    </row>
    <row r="15" spans="1:33" x14ac:dyDescent="0.3">
      <c r="A15" s="7"/>
      <c r="B15" s="8"/>
      <c r="C15" s="4" t="s">
        <v>15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25" t="str" cm="1">
        <f t="array" ref="R15">_xlfn.IFS(Q15=7,1,Q15=6,2,Q15=5,3,Q15=4,4,Q15=3,5,Q15=2,6,Q15=1,7,Q14&lt;$D$14,"Too Fast",Q14="DQ","DQ")</f>
        <v>Too Fast</v>
      </c>
      <c r="S15" s="31" t="b">
        <v>0</v>
      </c>
    </row>
    <row r="16" spans="1:33" x14ac:dyDescent="0.3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1"/>
      <c r="S16" s="28"/>
    </row>
    <row r="17" spans="1:19" x14ac:dyDescent="0.3">
      <c r="A17" s="7"/>
      <c r="B17" s="8"/>
      <c r="C17" s="4" t="s">
        <v>15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25" t="str" cm="1">
        <f t="array" ref="R17">_xlfn.IFS(Q17=7,1,Q17=6,2,Q17=5,3,Q17=4,4,Q17=3,5,Q17=2,6,Q17=1,7,Q16&lt;$D$16,"Too Fast",Q16="DQ","DQ")</f>
        <v>Too Fast</v>
      </c>
      <c r="S17" s="31" t="b">
        <v>0</v>
      </c>
    </row>
    <row r="18" spans="1:19" x14ac:dyDescent="0.3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1"/>
      <c r="S18" s="28"/>
    </row>
    <row r="19" spans="1:19" x14ac:dyDescent="0.3">
      <c r="A19" s="7"/>
      <c r="B19" s="8"/>
      <c r="C19" s="4" t="s">
        <v>15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25" t="str" cm="1">
        <f t="array" ref="R19">_xlfn.IFS(Q19=7,1,Q19=6,2,Q19=5,3,Q19=4,4,Q19=3,5,Q19=2,6,Q19=1,7,Q18&lt;$D$18,"Too Fast",Q18="DQ","DQ")</f>
        <v>Too Fast</v>
      </c>
      <c r="S19" s="31" t="b">
        <v>0</v>
      </c>
    </row>
    <row r="20" spans="1:19" x14ac:dyDescent="0.3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1"/>
      <c r="S20" s="28"/>
    </row>
    <row r="21" spans="1:19" x14ac:dyDescent="0.3">
      <c r="A21" s="7"/>
      <c r="B21" s="8"/>
      <c r="C21" s="4" t="s">
        <v>15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25" t="str" cm="1">
        <f t="array" ref="R21">_xlfn.IFS(Q21=7,1,Q21=6,2,Q21=5,3,Q21=4,4,Q21=3,5,Q21=2,6,Q21=1,7,Q20&lt;$D$20,"Too Fast",Q20="DQ","DQ")</f>
        <v>Too Fast</v>
      </c>
      <c r="S21" s="31" t="b">
        <v>0</v>
      </c>
    </row>
    <row r="22" spans="1:19" x14ac:dyDescent="0.3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1"/>
      <c r="S22" s="28"/>
    </row>
    <row r="23" spans="1:19" x14ac:dyDescent="0.3">
      <c r="A23" s="7"/>
      <c r="B23" s="8"/>
      <c r="C23" s="4" t="s">
        <v>15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25" t="str" cm="1">
        <f t="array" ref="R23">_xlfn.IFS(Q23=7,1,Q23=6,2,Q23=5,3,Q23=4,4,Q23=3,5,Q23=2,6,Q23=1,7,Q22&lt;$D$22,"Too Fast",Q22="DQ","DQ")</f>
        <v>Too Fast</v>
      </c>
      <c r="S23" s="31" t="b">
        <v>0</v>
      </c>
    </row>
    <row r="24" spans="1:19" x14ac:dyDescent="0.3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1"/>
      <c r="S24" s="28"/>
    </row>
    <row r="25" spans="1:19" x14ac:dyDescent="0.3">
      <c r="A25" s="7"/>
      <c r="B25" s="8"/>
      <c r="C25" s="4" t="s">
        <v>15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25" t="str" cm="1">
        <f t="array" ref="R25">_xlfn.IFS(Q25=7,1,Q25=6,2,Q25=5,3,Q25=4,4,Q25=3,5,Q25=2,6,Q25=1,7,Q24&lt;$D$24,"Too Fast",Q24="DQ","DQ")</f>
        <v>Too Fast</v>
      </c>
      <c r="S25" s="31" t="b">
        <v>0</v>
      </c>
    </row>
    <row r="26" spans="1:19" x14ac:dyDescent="0.3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29"/>
      <c r="S26" s="28"/>
    </row>
    <row r="27" spans="1:19" x14ac:dyDescent="0.3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1"/>
      <c r="S27" s="28"/>
    </row>
    <row r="28" spans="1:19" x14ac:dyDescent="0.3">
      <c r="A28" s="7"/>
      <c r="B28" s="8"/>
      <c r="C28" s="4" t="s">
        <v>15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25" t="str" cm="1">
        <f t="array" ref="R28">_xlfn.IFS(Q28=7,1,Q28=6,2,Q28=5,3,Q28=4,4,Q28=3,5,Q28=2,6,Q28=1,7,Q27&lt;$D$27,"Too Fast",Q27="DQ","DQ")</f>
        <v>Too Fast</v>
      </c>
      <c r="S28" s="31" t="b">
        <v>0</v>
      </c>
    </row>
    <row r="29" spans="1:19" x14ac:dyDescent="0.3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1"/>
      <c r="S29" s="28"/>
    </row>
    <row r="30" spans="1:19" x14ac:dyDescent="0.3">
      <c r="A30" s="7"/>
      <c r="B30" s="8"/>
      <c r="C30" s="4" t="s">
        <v>15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25" t="str" cm="1">
        <f t="array" ref="R30">_xlfn.IFS(Q30=7,1,Q30=6,2,Q30=5,3,Q30=4,4,Q30=3,5,Q30=2,6,Q30=1,7,Q29&lt;$D$29,"Too Fast",Q29="DQ","DQ")</f>
        <v>Too Fast</v>
      </c>
      <c r="S30" s="31" t="b">
        <v>0</v>
      </c>
    </row>
    <row r="31" spans="1:19" x14ac:dyDescent="0.3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43"/>
      <c r="S31" s="28"/>
    </row>
    <row r="32" spans="1:19" x14ac:dyDescent="0.3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25" t="str" cm="1">
        <f t="array" ref="R32">_xlfn.IFS(Q32=7,1,Q32=6,2,Q32=5,3,Q32=4,4,Q32=3,5,Q32=2,6,Q32=1,7,Q31&lt;$D$31,"Too Fast",Q31="DQ","DQ")</f>
        <v>Too Fast</v>
      </c>
      <c r="S32" s="31" t="b">
        <v>0</v>
      </c>
    </row>
    <row r="33" spans="1:31" x14ac:dyDescent="0.3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1"/>
      <c r="S33" s="28"/>
    </row>
    <row r="34" spans="1:31" x14ac:dyDescent="0.3">
      <c r="A34" s="7"/>
      <c r="B34" s="8"/>
      <c r="C34" s="4" t="s">
        <v>15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25" t="str" cm="1">
        <f t="array" ref="R34">_xlfn.IFS(Q34=7,1,Q34=6,2,Q34=5,3,Q34=4,4,Q34=3,5,Q34=2,6,Q34=1,7,Q33&lt;$D$33,"Too Fast",Q33="DQ","DQ")</f>
        <v>Too Fast</v>
      </c>
      <c r="S34" s="31" t="b">
        <v>0</v>
      </c>
    </row>
    <row r="35" spans="1:31" x14ac:dyDescent="0.3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1"/>
      <c r="S35" s="28"/>
    </row>
    <row r="36" spans="1:31" x14ac:dyDescent="0.3">
      <c r="A36" s="7"/>
      <c r="B36" s="8"/>
      <c r="C36" s="4" t="s">
        <v>15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25" t="str" cm="1">
        <f t="array" ref="R36">_xlfn.IFS(Q36=7,1,Q36=6,2,Q36=5,3,Q36=4,4,Q36=3,5,Q36=2,6,Q36=1,7,Q35&lt;$D$35,"Too Fast",Q35="DQ","DQ")</f>
        <v>Too Fast</v>
      </c>
      <c r="S36" s="31" t="b">
        <v>0</v>
      </c>
    </row>
    <row r="37" spans="1:31" x14ac:dyDescent="0.3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1"/>
      <c r="S37" s="28"/>
    </row>
    <row r="38" spans="1:31" x14ac:dyDescent="0.3">
      <c r="A38" s="7"/>
      <c r="B38" s="8"/>
      <c r="C38" s="4" t="s">
        <v>15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25" t="str" cm="1">
        <f t="array" ref="R38">_xlfn.IFS(Q38=7,1,Q38=6,2,Q38=5,3,Q38=4,4,Q38=3,5,Q38=2,6,Q38=1,7,Q37&lt;$D$37,"Too Fast",Q37="DQ","DQ")</f>
        <v>Too Fast</v>
      </c>
      <c r="S38" s="31" t="b">
        <v>0</v>
      </c>
    </row>
    <row r="39" spans="1:31" x14ac:dyDescent="0.3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1"/>
      <c r="S39" s="28"/>
    </row>
    <row r="40" spans="1:31" x14ac:dyDescent="0.3">
      <c r="A40" s="7"/>
      <c r="B40" s="8"/>
      <c r="C40" s="4" t="s">
        <v>15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25" t="str" cm="1">
        <f t="array" ref="R40">_xlfn.IFS(Q40=7,1,Q40=6,2,Q40=5,3,Q40=4,4,Q40=3,5,Q40=2,6,Q40=1,7,Q39&lt;$D$39,"Too Fast",Q39="DQ","DQ")</f>
        <v>Too Fast</v>
      </c>
      <c r="S40" s="31" t="b">
        <v>0</v>
      </c>
    </row>
    <row r="41" spans="1:31" x14ac:dyDescent="0.3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1"/>
      <c r="S41" s="28"/>
    </row>
    <row r="42" spans="1:31" x14ac:dyDescent="0.3">
      <c r="A42" s="7"/>
      <c r="B42" s="8"/>
      <c r="C42" s="4" t="s">
        <v>15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25" t="str" cm="1">
        <f t="array" ref="R42">_xlfn.IFS(Q42=7,1,Q42=6,2,Q42=5,3,Q42=4,4,Q42=3,5,Q42=2,6,Q42=1,7,Q41&lt;$D$41,"Too Fast",Q41="DQ","DQ")</f>
        <v>Too Fast</v>
      </c>
      <c r="S42" s="31" t="b">
        <v>0</v>
      </c>
      <c r="Y42" s="23"/>
    </row>
    <row r="43" spans="1:31" x14ac:dyDescent="0.3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1"/>
      <c r="S43" s="28"/>
      <c r="Y43" s="23"/>
      <c r="Z43" s="23"/>
      <c r="AA43" s="23"/>
      <c r="AB43" s="23"/>
      <c r="AC43" s="23"/>
      <c r="AD43" s="23"/>
      <c r="AE43" s="23"/>
    </row>
    <row r="44" spans="1:31" x14ac:dyDescent="0.3">
      <c r="A44" s="7"/>
      <c r="B44" s="8"/>
      <c r="C44" s="4" t="s">
        <v>15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25" t="str" cm="1">
        <f t="array" ref="R44">_xlfn.IFS(Q44=7,1,Q44=6,2,Q44=5,3,Q44=4,4,Q44=3,5,Q44=2,6,Q44=1,7,Q43&lt;$D$43,"Too Fast",Q43="DQ","DQ")</f>
        <v>Too Fast</v>
      </c>
      <c r="S44" s="31" t="b">
        <v>0</v>
      </c>
      <c r="X44" s="24"/>
    </row>
    <row r="45" spans="1:31" x14ac:dyDescent="0.3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1"/>
      <c r="S45" s="28"/>
      <c r="X45" s="24"/>
    </row>
    <row r="46" spans="1:31" x14ac:dyDescent="0.3">
      <c r="A46" s="7"/>
      <c r="B46" s="8"/>
      <c r="C46" s="4" t="s">
        <v>15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25" t="str" cm="1">
        <f t="array" ref="R46">_xlfn.IFS(Q46=7,1,Q46=6,2,Q46=5,3,Q46=4,4,Q46=3,5,Q46=2,6,Q46=1,7,Q45&lt;$D$45,"Too Fast",Q45="DQ","DQ")</f>
        <v>Too Fast</v>
      </c>
      <c r="S46" s="31" t="b">
        <v>0</v>
      </c>
      <c r="X46" s="24"/>
    </row>
    <row r="47" spans="1:31" x14ac:dyDescent="0.3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29"/>
      <c r="S47" s="28"/>
      <c r="X47" s="24"/>
    </row>
    <row r="48" spans="1:31" x14ac:dyDescent="0.3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1"/>
      <c r="S48" s="28"/>
      <c r="X48" s="24"/>
    </row>
    <row r="49" spans="1:24" x14ac:dyDescent="0.3">
      <c r="A49" s="7"/>
      <c r="B49" s="8"/>
      <c r="C49" s="4" t="s">
        <v>15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25" t="str" cm="1">
        <f t="array" ref="R49">_xlfn.IFS(Q49=7,1,Q49=6,2,Q49=5,3,Q49=4,4,Q49=3,5,Q49=2,6,Q49=1,7,Q48&lt;$D$48,"Too Fast",Q48="DQ","DQ")</f>
        <v>Too Fast</v>
      </c>
      <c r="S49" s="31" t="b">
        <v>0</v>
      </c>
      <c r="X49" s="24"/>
    </row>
    <row r="50" spans="1:24" x14ac:dyDescent="0.3">
      <c r="A50" s="5">
        <v>22</v>
      </c>
      <c r="B50" s="10" t="s">
        <v>52</v>
      </c>
      <c r="C50" s="2" t="s">
        <v>32</v>
      </c>
      <c r="D50" s="16">
        <v>1.8969907407407409E-4</v>
      </c>
      <c r="E50" s="41"/>
      <c r="F50" s="42"/>
      <c r="G50" s="41"/>
      <c r="H50" s="42"/>
      <c r="I50" s="41"/>
      <c r="J50" s="42"/>
      <c r="K50" s="41"/>
      <c r="L50" s="42"/>
      <c r="M50" s="41"/>
      <c r="N50" s="42"/>
      <c r="O50" s="41"/>
      <c r="P50" s="42"/>
      <c r="Q50" s="41"/>
      <c r="R50" s="43"/>
      <c r="S50" s="28"/>
      <c r="X50" s="24"/>
    </row>
    <row r="51" spans="1:24" x14ac:dyDescent="0.3">
      <c r="A51" s="7"/>
      <c r="B51" s="8"/>
      <c r="C51" s="4" t="s">
        <v>15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25" t="str" cm="1">
        <f t="array" ref="R51">_xlfn.IFS(Q51=7,1,Q51=6,2,Q51=5,3,Q51=4,4,Q51=3,5,Q51=2,6,Q51=1,7,Q50&lt;$D$50,"Too Fast",Q50="DQ","DQ")</f>
        <v>Too Fast</v>
      </c>
      <c r="S51" s="31" t="b">
        <v>0</v>
      </c>
      <c r="X51" s="24"/>
    </row>
    <row r="52" spans="1:24" x14ac:dyDescent="0.3">
      <c r="A52" s="5">
        <v>23</v>
      </c>
      <c r="B52" s="10" t="s">
        <v>53</v>
      </c>
      <c r="C52" s="2" t="s">
        <v>35</v>
      </c>
      <c r="D52" s="16">
        <v>3.5300925925925924E-4</v>
      </c>
      <c r="E52" s="41"/>
      <c r="F52" s="42"/>
      <c r="G52" s="41"/>
      <c r="H52" s="42"/>
      <c r="I52" s="41"/>
      <c r="J52" s="42"/>
      <c r="K52" s="41"/>
      <c r="L52" s="42"/>
      <c r="M52" s="41"/>
      <c r="N52" s="42"/>
      <c r="O52" s="41"/>
      <c r="P52" s="42"/>
      <c r="Q52" s="41"/>
      <c r="R52" s="43"/>
      <c r="S52" s="28"/>
      <c r="X52" s="24"/>
    </row>
    <row r="53" spans="1:24" x14ac:dyDescent="0.3">
      <c r="A53" s="7"/>
      <c r="B53" s="8"/>
      <c r="C53" s="4" t="s">
        <v>15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25" t="str" cm="1">
        <f t="array" ref="R53">_xlfn.IFS(Q53=7,1,Q53=6,2,Q53=5,3,Q53=4,4,Q53=3,5,Q53=2,6,Q53=1,7,Q52&lt;$D$52,"Too Fast",Q52="DQ","DQ")</f>
        <v>Too Fast</v>
      </c>
      <c r="S53" s="31" t="b">
        <v>0</v>
      </c>
      <c r="X53" s="24"/>
    </row>
    <row r="54" spans="1:24" x14ac:dyDescent="0.3">
      <c r="A54" s="5">
        <v>24</v>
      </c>
      <c r="B54" s="10" t="s">
        <v>54</v>
      </c>
      <c r="C54" s="2" t="s">
        <v>35</v>
      </c>
      <c r="D54" s="16">
        <v>3.5416666666666669E-4</v>
      </c>
      <c r="E54" s="41"/>
      <c r="F54" s="42"/>
      <c r="G54" s="41"/>
      <c r="H54" s="42"/>
      <c r="I54" s="41"/>
      <c r="J54" s="42"/>
      <c r="K54" s="41"/>
      <c r="L54" s="42"/>
      <c r="M54" s="41"/>
      <c r="N54" s="42"/>
      <c r="O54" s="41"/>
      <c r="P54" s="42"/>
      <c r="Q54" s="41"/>
      <c r="R54" s="43"/>
      <c r="S54" s="28"/>
      <c r="X54" s="24"/>
    </row>
    <row r="55" spans="1:24" x14ac:dyDescent="0.3">
      <c r="A55" s="7"/>
      <c r="B55" s="8"/>
      <c r="C55" s="4" t="s">
        <v>15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25" t="str" cm="1">
        <f t="array" ref="R55">_xlfn.IFS(Q55=7,1,Q55=6,2,Q55=5,3,Q55=4,4,Q55=3,5,Q55=2,6,Q55=1,7,Q54&lt;$D$54,"Too Fast",Q54="DQ","DQ")</f>
        <v>Too Fast</v>
      </c>
      <c r="S55" s="31" t="b">
        <v>0</v>
      </c>
      <c r="X55" s="24"/>
    </row>
    <row r="56" spans="1:24" x14ac:dyDescent="0.3">
      <c r="A56" s="5">
        <v>25</v>
      </c>
      <c r="B56" s="10" t="s">
        <v>55</v>
      </c>
      <c r="C56" s="2" t="s">
        <v>56</v>
      </c>
      <c r="D56" s="16">
        <v>1.5381944444444445E-3</v>
      </c>
      <c r="E56" s="41"/>
      <c r="F56" s="42"/>
      <c r="G56" s="41"/>
      <c r="H56" s="42"/>
      <c r="I56" s="41"/>
      <c r="J56" s="42"/>
      <c r="K56" s="41"/>
      <c r="L56" s="42"/>
      <c r="M56" s="41"/>
      <c r="N56" s="42"/>
      <c r="O56" s="41"/>
      <c r="P56" s="42"/>
      <c r="Q56" s="41"/>
      <c r="R56" s="43"/>
      <c r="S56" s="28"/>
      <c r="X56" s="24"/>
    </row>
    <row r="57" spans="1:24" x14ac:dyDescent="0.3">
      <c r="A57" s="7"/>
      <c r="B57" s="8"/>
      <c r="C57" s="4" t="s">
        <v>15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25" t="str" cm="1">
        <f t="array" ref="R57">_xlfn.IFS(Q57=7,1,Q57=6,2,Q57=5,3,Q57=4,4,Q57=3,5,Q57=2,6,Q57=1,7,Q56&lt;$D$56,"Too Fast",Q56="DQ","DQ")</f>
        <v>Too Fast</v>
      </c>
      <c r="S57" s="31" t="b">
        <v>0</v>
      </c>
      <c r="X57" s="24"/>
    </row>
    <row r="58" spans="1:24" x14ac:dyDescent="0.3">
      <c r="A58" s="5">
        <v>26</v>
      </c>
      <c r="B58" s="10" t="s">
        <v>57</v>
      </c>
      <c r="C58" s="2" t="s">
        <v>56</v>
      </c>
      <c r="D58" s="16">
        <v>1.4189814814814814E-3</v>
      </c>
      <c r="E58" s="41"/>
      <c r="F58" s="42"/>
      <c r="G58" s="41"/>
      <c r="H58" s="42"/>
      <c r="I58" s="41"/>
      <c r="J58" s="42"/>
      <c r="K58" s="41"/>
      <c r="L58" s="42"/>
      <c r="M58" s="41"/>
      <c r="N58" s="42"/>
      <c r="O58" s="41"/>
      <c r="P58" s="42"/>
      <c r="Q58" s="41"/>
      <c r="R58" s="43"/>
      <c r="S58" s="28"/>
      <c r="X58" s="24"/>
    </row>
    <row r="59" spans="1:24" x14ac:dyDescent="0.3">
      <c r="A59" s="7"/>
      <c r="B59" s="8"/>
      <c r="C59" s="4" t="s">
        <v>15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25" t="str" cm="1">
        <f t="array" ref="R59">_xlfn.IFS(Q59=7,1,Q59=6,2,Q59=5,3,Q59=4,4,Q59=3,5,Q59=2,6,Q59=1,7,Q58&lt;$D$58,"Too Fast",Q58="DQ","DQ")</f>
        <v>Too Fast</v>
      </c>
      <c r="S59" s="31" t="b">
        <v>0</v>
      </c>
      <c r="X59" s="24"/>
    </row>
    <row r="60" spans="1:24" x14ac:dyDescent="0.3">
      <c r="A60" s="5">
        <v>27</v>
      </c>
      <c r="B60" s="10" t="s">
        <v>58</v>
      </c>
      <c r="C60" s="2" t="s">
        <v>56</v>
      </c>
      <c r="D60" s="16">
        <v>1.5170138888888889E-3</v>
      </c>
      <c r="E60" s="41"/>
      <c r="F60" s="42"/>
      <c r="G60" s="41"/>
      <c r="H60" s="42"/>
      <c r="I60" s="41"/>
      <c r="J60" s="42"/>
      <c r="K60" s="41"/>
      <c r="L60" s="42"/>
      <c r="M60" s="41"/>
      <c r="N60" s="42"/>
      <c r="O60" s="41"/>
      <c r="P60" s="42"/>
      <c r="Q60" s="41"/>
      <c r="R60" s="43"/>
      <c r="S60" s="28"/>
      <c r="X60" s="24"/>
    </row>
    <row r="61" spans="1:24" x14ac:dyDescent="0.3">
      <c r="A61" s="7"/>
      <c r="B61" s="8"/>
      <c r="C61" s="4" t="s">
        <v>15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25" t="str" cm="1">
        <f t="array" ref="R61">_xlfn.IFS(Q61=7,1,Q61=6,2,Q61=5,3,Q61=4,4,Q61=3,5,Q61=2,6,Q61=1,7,Q60&lt;$D$60,"Too Fast",Q60="DQ","DQ")</f>
        <v>Too Fast</v>
      </c>
      <c r="S61" s="31" t="b">
        <v>0</v>
      </c>
      <c r="X61" s="24"/>
    </row>
    <row r="62" spans="1:24" x14ac:dyDescent="0.3">
      <c r="A62" s="5">
        <v>28</v>
      </c>
      <c r="B62" s="10" t="s">
        <v>59</v>
      </c>
      <c r="C62" s="2" t="s">
        <v>56</v>
      </c>
      <c r="D62" s="16">
        <v>1.3824074074074075E-3</v>
      </c>
      <c r="E62" s="41"/>
      <c r="F62" s="42"/>
      <c r="G62" s="41"/>
      <c r="H62" s="42"/>
      <c r="I62" s="41"/>
      <c r="J62" s="42"/>
      <c r="K62" s="41"/>
      <c r="L62" s="42"/>
      <c r="M62" s="41"/>
      <c r="N62" s="42"/>
      <c r="O62" s="41"/>
      <c r="P62" s="42"/>
      <c r="Q62" s="41"/>
      <c r="R62" s="43"/>
      <c r="S62" s="28"/>
      <c r="X62" s="24"/>
    </row>
    <row r="63" spans="1:24" x14ac:dyDescent="0.3">
      <c r="A63" s="7"/>
      <c r="B63" s="8"/>
      <c r="C63" s="4" t="s">
        <v>15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25" t="str" cm="1">
        <f t="array" ref="R63">_xlfn.IFS(Q63=7,1,Q63=6,2,Q63=5,3,Q63=4,4,Q63=3,5,Q63=2,6,Q63=1,7,Q62&lt;$D$62,"Too Fast",Q62="DQ","DQ")</f>
        <v>Too Fast</v>
      </c>
      <c r="S63" s="31" t="b">
        <v>0</v>
      </c>
      <c r="X63" s="24"/>
    </row>
    <row r="64" spans="1:24" x14ac:dyDescent="0.3">
      <c r="A64" s="5">
        <v>29</v>
      </c>
      <c r="B64" s="10" t="s">
        <v>60</v>
      </c>
      <c r="C64" s="2" t="s">
        <v>32</v>
      </c>
      <c r="D64" s="16">
        <v>2.0972222222222223E-4</v>
      </c>
      <c r="E64" s="41"/>
      <c r="F64" s="42"/>
      <c r="G64" s="41"/>
      <c r="H64" s="42"/>
      <c r="I64" s="41"/>
      <c r="J64" s="42"/>
      <c r="K64" s="41"/>
      <c r="L64" s="42"/>
      <c r="M64" s="41"/>
      <c r="N64" s="42"/>
      <c r="O64" s="41"/>
      <c r="P64" s="42"/>
      <c r="Q64" s="41"/>
      <c r="R64" s="43"/>
      <c r="S64" s="28"/>
      <c r="X64" s="24"/>
    </row>
    <row r="65" spans="1:24" x14ac:dyDescent="0.3">
      <c r="A65" s="7"/>
      <c r="B65" s="8"/>
      <c r="C65" s="4" t="s">
        <v>15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25" t="str" cm="1">
        <f t="array" ref="R65">_xlfn.IFS(Q65=7,1,Q65=6,2,Q65=5,3,Q65=4,4,Q65=3,5,Q65=2,6,Q65=1,7,Q64&lt;$D$64,"Too Fast",Q64="DQ","DQ")</f>
        <v>Too Fast</v>
      </c>
      <c r="S65" s="31" t="b">
        <v>0</v>
      </c>
      <c r="X65" s="24"/>
    </row>
    <row r="66" spans="1:24" x14ac:dyDescent="0.3">
      <c r="A66" s="5">
        <v>30</v>
      </c>
      <c r="B66" s="10" t="s">
        <v>61</v>
      </c>
      <c r="C66" s="2" t="s">
        <v>32</v>
      </c>
      <c r="D66" s="16">
        <v>2.1087962962962963E-4</v>
      </c>
      <c r="E66" s="41"/>
      <c r="F66" s="42"/>
      <c r="G66" s="41"/>
      <c r="H66" s="42"/>
      <c r="I66" s="41"/>
      <c r="J66" s="42"/>
      <c r="K66" s="41"/>
      <c r="L66" s="42"/>
      <c r="M66" s="41"/>
      <c r="N66" s="42"/>
      <c r="O66" s="41"/>
      <c r="P66" s="42"/>
      <c r="Q66" s="41"/>
      <c r="R66" s="43"/>
      <c r="S66" s="28"/>
      <c r="X66" s="24"/>
    </row>
    <row r="67" spans="1:24" x14ac:dyDescent="0.3">
      <c r="A67" s="7"/>
      <c r="B67" s="8"/>
      <c r="C67" s="4" t="s">
        <v>15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25" t="str" cm="1">
        <f t="array" ref="R67">_xlfn.IFS(Q67=7,1,Q67=6,2,Q67=5,3,Q67=4,4,Q67=3,5,Q67=2,6,Q67=1,7,Q66&lt;$D$66,"Too Fast",Q66="DQ","DQ")</f>
        <v>Too Fast</v>
      </c>
      <c r="S67" s="31" t="b">
        <v>0</v>
      </c>
      <c r="X67" s="24"/>
    </row>
    <row r="68" spans="1:24" x14ac:dyDescent="0.3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29"/>
      <c r="S68" s="28"/>
      <c r="X68" s="24"/>
    </row>
    <row r="69" spans="1:24" x14ac:dyDescent="0.3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2"/>
      <c r="Q69" s="41"/>
      <c r="R69" s="43"/>
      <c r="S69" s="28"/>
      <c r="X69" s="24"/>
    </row>
    <row r="70" spans="1:24" x14ac:dyDescent="0.3">
      <c r="A70" s="7"/>
      <c r="B70" s="8"/>
      <c r="C70" s="4" t="s">
        <v>15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25" t="str" cm="1">
        <f t="array" ref="R70">_xlfn.IFS(Q70=7,1,Q70=6,2,Q70=5,3,Q70=4,4,Q70=3,5,Q70=2,6,Q70=1,7,Q69&lt;$D$69,"Too Fast",Q69="DQ","DQ")</f>
        <v>Too Fast</v>
      </c>
      <c r="S70" s="31" t="b">
        <v>0</v>
      </c>
      <c r="X70" s="24"/>
    </row>
    <row r="71" spans="1:24" x14ac:dyDescent="0.3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2"/>
      <c r="Q71" s="41"/>
      <c r="R71" s="43"/>
      <c r="S71" s="28"/>
      <c r="X71" s="24"/>
    </row>
    <row r="72" spans="1:24" x14ac:dyDescent="0.3">
      <c r="A72" s="7"/>
      <c r="B72" s="8"/>
      <c r="C72" s="4" t="s">
        <v>15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25" t="str" cm="1">
        <f t="array" ref="R72">_xlfn.IFS(Q72=7,1,Q72=6,2,Q72=5,3,Q72=4,4,Q72=3,5,Q72=2,6,Q72=1,7,Q71&lt;$D$71,"Too Fast",Q71="DQ","DQ")</f>
        <v>Too Fast</v>
      </c>
      <c r="S72" s="31" t="b">
        <v>0</v>
      </c>
      <c r="X72" s="24"/>
    </row>
    <row r="73" spans="1:24" x14ac:dyDescent="0.3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2"/>
      <c r="Q73" s="41"/>
      <c r="R73" s="43"/>
      <c r="S73" s="28"/>
      <c r="X73" s="24"/>
    </row>
    <row r="74" spans="1:24" x14ac:dyDescent="0.3">
      <c r="A74" s="7"/>
      <c r="B74" s="8"/>
      <c r="C74" s="4" t="s">
        <v>15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25" t="str" cm="1">
        <f t="array" ref="R74">_xlfn.IFS(Q74=7,1,Q74=6,2,Q74=5,3,Q74=4,4,Q74=3,5,Q74=2,6,Q74=1,7,Q73&lt;$D$73,"Too Fast",Q73="DQ","DQ")</f>
        <v>Too Fast</v>
      </c>
      <c r="S74" s="31" t="b">
        <v>0</v>
      </c>
    </row>
    <row r="75" spans="1:24" x14ac:dyDescent="0.3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2"/>
      <c r="Q75" s="41"/>
      <c r="R75" s="43"/>
      <c r="S75" s="28"/>
    </row>
    <row r="76" spans="1:24" x14ac:dyDescent="0.3">
      <c r="A76" s="7"/>
      <c r="B76" s="8"/>
      <c r="C76" s="4" t="s">
        <v>15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25" t="str" cm="1">
        <f t="array" ref="R76">_xlfn.IFS(Q76=7,1,Q76=6,2,Q76=5,3,Q76=4,4,Q76=3,5,Q76=2,6,Q76=1,7,Q75&lt;$D$75,"Too Fast",Q75="DQ","DQ")</f>
        <v>Too Fast</v>
      </c>
      <c r="S76" s="31" t="b">
        <v>0</v>
      </c>
    </row>
    <row r="77" spans="1:24" x14ac:dyDescent="0.3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2"/>
      <c r="Q77" s="41"/>
      <c r="R77" s="43"/>
      <c r="S77" s="28"/>
    </row>
    <row r="78" spans="1:24" x14ac:dyDescent="0.3">
      <c r="A78" s="7"/>
      <c r="B78" s="8"/>
      <c r="C78" s="4" t="s">
        <v>15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25" t="str" cm="1">
        <f t="array" ref="R78">_xlfn.IFS(Q78=7,1,Q78=6,2,Q78=5,3,Q78=4,4,Q78=3,5,Q78=2,6,Q78=1,7,Q77&lt;$D$77,"Too Fast",Q77="DQ","DQ")</f>
        <v>Too Fast</v>
      </c>
      <c r="S78" s="31" t="b">
        <v>0</v>
      </c>
    </row>
    <row r="79" spans="1:24" x14ac:dyDescent="0.3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2"/>
      <c r="Q79" s="41"/>
      <c r="R79" s="43"/>
      <c r="S79" s="28"/>
    </row>
    <row r="80" spans="1:24" x14ac:dyDescent="0.3">
      <c r="A80" s="7"/>
      <c r="B80" s="8"/>
      <c r="C80" s="4" t="s">
        <v>15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25" t="str" cm="1">
        <f t="array" ref="R80">_xlfn.IFS(Q80=7,1,Q80=6,2,Q80=5,3,Q80=4,4,Q80=3,5,Q80=2,6,Q80=1,7,Q79&lt;$D$79,"Too Fast",Q79="DQ","DQ")</f>
        <v>Too Fast</v>
      </c>
      <c r="S80" s="31" t="b">
        <v>0</v>
      </c>
    </row>
    <row r="81" spans="1:19" x14ac:dyDescent="0.3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2"/>
      <c r="Q81" s="41"/>
      <c r="R81" s="43"/>
      <c r="S81" s="28"/>
    </row>
    <row r="82" spans="1:19" x14ac:dyDescent="0.3">
      <c r="A82" s="7"/>
      <c r="B82" s="8"/>
      <c r="C82" s="4" t="s">
        <v>15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25" t="str" cm="1">
        <f t="array" ref="R82">_xlfn.IFS(Q82=7,1,Q82=6,2,Q82=5,3,Q82=4,4,Q82=3,5,Q82=2,6,Q82=1,7,Q81&lt;$D$81,"Too Fast",Q81="DQ","DQ")</f>
        <v>Too Fast</v>
      </c>
      <c r="S82" s="31" t="b">
        <v>0</v>
      </c>
    </row>
    <row r="83" spans="1:19" x14ac:dyDescent="0.3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2"/>
      <c r="Q83" s="41"/>
      <c r="R83" s="43"/>
      <c r="S83" s="28"/>
    </row>
    <row r="84" spans="1:19" x14ac:dyDescent="0.3">
      <c r="A84" s="7"/>
      <c r="B84" s="8"/>
      <c r="C84" s="4" t="s">
        <v>15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25" t="str" cm="1">
        <f t="array" ref="R84">_xlfn.IFS(Q84=7,1,Q84=6,2,Q84=5,3,Q84=4,4,Q84=3,5,Q84=2,6,Q84=1,7,Q83&lt;$D$83,"Too Fast",Q83="DQ","DQ")</f>
        <v>Too Fast</v>
      </c>
      <c r="S84" s="31" t="b">
        <v>0</v>
      </c>
    </row>
    <row r="85" spans="1:19" x14ac:dyDescent="0.3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2"/>
      <c r="Q85" s="41"/>
      <c r="R85" s="43"/>
      <c r="S85" s="28"/>
    </row>
    <row r="86" spans="1:19" x14ac:dyDescent="0.3">
      <c r="A86" s="7"/>
      <c r="B86" s="8"/>
      <c r="C86" s="4" t="s">
        <v>15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25" t="str" cm="1">
        <f t="array" ref="R86">_xlfn.IFS(Q86=7,1,Q86=6,2,Q86=5,3,Q86=4,4,Q86=3,5,Q86=2,6,Q86=1,7,Q85&lt;$D$85,"Too Fast",Q85="DQ","DQ")</f>
        <v>Too Fast</v>
      </c>
      <c r="S86" s="31" t="b">
        <v>0</v>
      </c>
    </row>
    <row r="87" spans="1:19" x14ac:dyDescent="0.3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2"/>
      <c r="Q87" s="41"/>
      <c r="R87" s="43"/>
      <c r="S87" s="28"/>
    </row>
    <row r="88" spans="1:19" x14ac:dyDescent="0.3">
      <c r="A88" s="7"/>
      <c r="B88" s="8"/>
      <c r="C88" s="4" t="s">
        <v>15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25" t="str" cm="1">
        <f t="array" ref="R88">_xlfn.IFS(Q88=7,1,Q88=6,2,Q88=5,3,Q88=4,4,Q88=3,5,Q88=2,6,Q88=1,7,Q87&lt;$D$87,"Too Fast",Q87="DQ","DQ")</f>
        <v>Too Fast</v>
      </c>
      <c r="S88" s="31" t="b">
        <v>0</v>
      </c>
    </row>
    <row r="89" spans="1:19" x14ac:dyDescent="0.3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29"/>
      <c r="S89" s="28"/>
    </row>
    <row r="90" spans="1:19" x14ac:dyDescent="0.3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2"/>
      <c r="Q90" s="41"/>
      <c r="R90" s="43"/>
      <c r="S90" s="28"/>
    </row>
    <row r="91" spans="1:19" x14ac:dyDescent="0.3">
      <c r="A91" s="7"/>
      <c r="B91" s="8"/>
      <c r="C91" s="4" t="s">
        <v>15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25" t="str" cm="1">
        <f t="array" ref="R91">_xlfn.IFS(Q91=7,1,Q91=6,2,Q91=5,3,Q91=4,4,Q91=3,5,Q91=2,6,Q91=1,7,Q90&lt;$D$90,"Too Fast",Q90="DQ","DQ")</f>
        <v>Too Fast</v>
      </c>
      <c r="S91" s="31" t="b">
        <v>0</v>
      </c>
    </row>
    <row r="92" spans="1:19" x14ac:dyDescent="0.3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2"/>
      <c r="Q92" s="41"/>
      <c r="R92" s="43"/>
      <c r="S92" s="28"/>
    </row>
    <row r="93" spans="1:19" x14ac:dyDescent="0.3">
      <c r="A93" s="7"/>
      <c r="B93" s="8"/>
      <c r="C93" s="4" t="s">
        <v>15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25" t="str" cm="1">
        <f t="array" ref="R93">_xlfn.IFS(Q93=7,1,Q93=6,2,Q93=5,3,Q93=4,4,Q93=3,5,Q93=2,6,Q93=1,7,Q92&lt;$D$92,"Too Fast",Q92="DQ","DQ")</f>
        <v>Too Fast</v>
      </c>
      <c r="S93" s="31" t="b">
        <v>0</v>
      </c>
    </row>
    <row r="94" spans="1:19" x14ac:dyDescent="0.3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2"/>
      <c r="Q94" s="41"/>
      <c r="R94" s="43"/>
      <c r="S94" s="28"/>
    </row>
    <row r="95" spans="1:19" x14ac:dyDescent="0.3">
      <c r="A95" s="8"/>
      <c r="B95" s="8"/>
      <c r="C95" s="4" t="s">
        <v>15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25" t="str" cm="1">
        <f t="array" ref="R95">_xlfn.IFS(Q95=7,1,Q95=6,2,Q95=5,3,Q95=4,4,Q95=3,5,Q95=2,6,Q95=1,7,Q94&lt;$D$94,"Too Fast",Q94="DQ","DQ")</f>
        <v>Too Fast</v>
      </c>
      <c r="S95" s="31" t="b">
        <v>0</v>
      </c>
    </row>
    <row r="96" spans="1:19" x14ac:dyDescent="0.3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2"/>
      <c r="Q96" s="41"/>
      <c r="R96" s="43"/>
      <c r="S96" s="28"/>
    </row>
    <row r="97" spans="1:19" x14ac:dyDescent="0.3">
      <c r="A97" s="7"/>
      <c r="B97" s="8"/>
      <c r="C97" s="4" t="s">
        <v>15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25" t="str" cm="1">
        <f t="array" ref="R97">_xlfn.IFS(Q97=7,1,Q97=6,2,Q97=5,3,Q97=4,4,Q97=3,5,Q97=2,6,Q97=1,7,Q96&lt;$D$96,"Too Fast",Q96="DQ","DQ")</f>
        <v>Too Fast</v>
      </c>
      <c r="S97" s="31" t="b">
        <v>0</v>
      </c>
    </row>
    <row r="98" spans="1:19" x14ac:dyDescent="0.3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2"/>
      <c r="Q98" s="41"/>
      <c r="R98" s="43"/>
      <c r="S98" s="28"/>
    </row>
    <row r="99" spans="1:19" x14ac:dyDescent="0.3">
      <c r="A99" s="7"/>
      <c r="B99" s="8"/>
      <c r="C99" s="4" t="s">
        <v>15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25" t="str" cm="1">
        <f t="array" ref="R99">_xlfn.IFS(Q99=7,1,Q99=6,2,Q99=5,3,Q99=4,4,Q99=3,5,Q99=2,6,Q99=1,7,Q98&lt;$D$98,"Too Fast",Q98="DQ","DQ")</f>
        <v>Too Fast</v>
      </c>
      <c r="S99" s="31" t="b">
        <v>0</v>
      </c>
    </row>
    <row r="100" spans="1:19" x14ac:dyDescent="0.3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2"/>
      <c r="Q100" s="41"/>
      <c r="R100" s="43"/>
      <c r="S100" s="28"/>
    </row>
    <row r="101" spans="1:19" x14ac:dyDescent="0.3">
      <c r="A101" s="8"/>
      <c r="B101" s="8"/>
      <c r="C101" s="4" t="s">
        <v>15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25" t="str" cm="1">
        <f t="array" ref="R101">_xlfn.IFS(Q101=7,1,Q101=6,2,Q101=5,3,Q101=4,4,Q101=3,5,Q101=2,6,Q101=1,7,Q100&lt;$D$100,"Too Fast",Q100="DQ","DQ")</f>
        <v>Too Fast</v>
      </c>
      <c r="S101" s="31" t="b">
        <v>0</v>
      </c>
    </row>
    <row r="102" spans="1:19" x14ac:dyDescent="0.3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2"/>
      <c r="Q102" s="41"/>
      <c r="R102" s="43"/>
      <c r="S102" s="28"/>
    </row>
    <row r="103" spans="1:19" x14ac:dyDescent="0.3">
      <c r="A103" s="7"/>
      <c r="B103" s="8"/>
      <c r="C103" s="4" t="s">
        <v>15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25" t="str" cm="1">
        <f t="array" ref="R103">_xlfn.IFS(Q103=7,1,Q103=6,2,Q103=5,3,Q103=4,4,Q103=3,5,Q103=2,6,Q103=1,7,Q102&lt;$D$102,"Too Fast",Q102="DQ","DQ")</f>
        <v>Too Fast</v>
      </c>
      <c r="S103" s="31" t="b">
        <v>0</v>
      </c>
    </row>
    <row r="104" spans="1:19" x14ac:dyDescent="0.3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2"/>
      <c r="Q104" s="41"/>
      <c r="R104" s="43"/>
      <c r="S104" s="28"/>
    </row>
    <row r="105" spans="1:19" x14ac:dyDescent="0.3">
      <c r="A105" s="7"/>
      <c r="B105" s="8"/>
      <c r="C105" s="4" t="s">
        <v>15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25" t="str" cm="1">
        <f t="array" ref="R105">_xlfn.IFS(Q105=7,1,Q105=6,2,Q105=5,3,Q105=4,4,Q105=3,5,Q105=2,6,Q105=1,7,Q104&lt;$D$104,"Too Fast",Q104="DQ","DQ")</f>
        <v>Too Fast</v>
      </c>
      <c r="S105" s="31" t="b">
        <v>0</v>
      </c>
    </row>
    <row r="106" spans="1:19" x14ac:dyDescent="0.3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2"/>
      <c r="Q106" s="41"/>
      <c r="R106" s="43"/>
      <c r="S106" s="28"/>
    </row>
    <row r="107" spans="1:19" x14ac:dyDescent="0.3">
      <c r="A107" s="8"/>
      <c r="B107" s="8"/>
      <c r="C107" s="4" t="s">
        <v>15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25" t="str" cm="1">
        <f t="array" ref="R107">_xlfn.IFS(Q107=7,1,Q107=6,2,Q107=5,3,Q107=4,4,Q107=3,5,Q107=2,6,Q107=1,7,Q106&lt;$D$106,"Too Fast",Q106="DQ","DQ")</f>
        <v>Too Fast</v>
      </c>
      <c r="S107" s="31" t="b">
        <v>0</v>
      </c>
    </row>
    <row r="108" spans="1:19" x14ac:dyDescent="0.3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2"/>
      <c r="Q108" s="41"/>
      <c r="R108" s="43"/>
      <c r="S108" s="28"/>
    </row>
    <row r="109" spans="1:19" x14ac:dyDescent="0.3">
      <c r="A109" s="7"/>
      <c r="B109" s="8"/>
      <c r="C109" s="4" t="s">
        <v>15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25" t="str" cm="1">
        <f t="array" ref="R109">_xlfn.IFS(Q109=7,1,Q109=6,2,Q109=5,3,Q109=4,4,Q109=3,5,Q109=2,6,Q109=1,7,Q108&lt;$D$106,"Too Fast",Q108="DQ","DQ")</f>
        <v>Too Fast</v>
      </c>
      <c r="S109" s="31" t="b">
        <v>0</v>
      </c>
    </row>
    <row r="110" spans="1:19" x14ac:dyDescent="0.3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2"/>
      <c r="Q110" s="41"/>
      <c r="R110" s="43"/>
      <c r="S110" s="28"/>
    </row>
    <row r="111" spans="1:19" x14ac:dyDescent="0.3">
      <c r="A111" s="7"/>
      <c r="B111" s="8"/>
      <c r="C111" s="4" t="s">
        <v>15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25" t="str" cm="1">
        <f t="array" ref="R111">_xlfn.IFS(Q111=7,1,Q111=6,2,Q111=5,3,Q111=4,4,Q111=3,5,Q111=2,6,Q111=1,7,Q110&lt;$D$110,"Too Fast",Q110="DQ","DQ")</f>
        <v>Too Fast</v>
      </c>
      <c r="S111" s="31" t="b">
        <v>0</v>
      </c>
    </row>
    <row r="112" spans="1:19" x14ac:dyDescent="0.3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2"/>
      <c r="Q112" s="41"/>
      <c r="R112" s="43"/>
      <c r="S112" s="28"/>
    </row>
    <row r="113" spans="1:19" x14ac:dyDescent="0.3">
      <c r="A113" s="7"/>
      <c r="B113" s="8"/>
      <c r="C113" s="4" t="s">
        <v>15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25" t="str" cm="1">
        <f t="array" ref="R113">_xlfn.IFS(Q113=7,1,Q113=6,2,Q113=5,3,Q113=4,4,Q113=3,5,Q113=2,6,Q113=1,7,Q112&lt;$D$112,"Too Fast",Q112="DQ","DQ")</f>
        <v>Too Fast</v>
      </c>
      <c r="S113" s="31" t="b">
        <v>0</v>
      </c>
    </row>
    <row r="114" spans="1:19" x14ac:dyDescent="0.3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2"/>
      <c r="Q114" s="41"/>
      <c r="R114" s="43"/>
      <c r="S114" s="28"/>
    </row>
    <row r="115" spans="1:19" x14ac:dyDescent="0.3">
      <c r="A115" s="8"/>
      <c r="B115" s="8"/>
      <c r="C115" s="4" t="s">
        <v>15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25" t="str" cm="1">
        <f t="array" ref="R115">_xlfn.IFS(Q115=7,1,Q115=6,2,Q115=5,3,Q115=4,4,Q115=3,5,Q115=2,6,Q115=1,7,Q114&lt;$D$114,"Too Fast",Q114="DQ","DQ")</f>
        <v>Too Fast</v>
      </c>
      <c r="S115" s="31" t="b">
        <v>0</v>
      </c>
    </row>
    <row r="116" spans="1:19" x14ac:dyDescent="0.3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29"/>
      <c r="S116" s="28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7" priority="3" operator="containsText" text="02.">
      <formula>NOT(ISERROR(SEARCH("02.",E6)))</formula>
    </cfRule>
    <cfRule type="containsText" dxfId="6" priority="4" operator="containsText" text="01.">
      <formula>NOT(ISERROR(SEARCH("01.",E6)))</formula>
    </cfRule>
    <cfRule type="containsText" dxfId="5" priority="5" operator="containsText" text="00.">
      <formula>NOT(ISERROR(SEARCH("00.",E6)))</formula>
    </cfRule>
  </conditionalFormatting>
  <conditionalFormatting sqref="S1:S1048576">
    <cfRule type="containsText" dxfId="4" priority="1" operator="containsText" text="TRUE">
      <formula>NOT(ISERROR(SEARCH("TRUE",S1)))</formula>
    </cfRule>
    <cfRule type="containsText" dxfId="3" priority="2" operator="containsText" text="FALSE">
      <formula>NOT(ISERROR(SEARCH("FALSE",S1)))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4" x14ac:dyDescent="0.3"/>
  <cols>
    <col min="1" max="1" width="9.6640625" bestFit="1" customWidth="1"/>
    <col min="2" max="2" width="28" bestFit="1" customWidth="1"/>
    <col min="3" max="3" width="13.109375" bestFit="1" customWidth="1"/>
    <col min="4" max="4" width="12.44140625" bestFit="1" customWidth="1"/>
    <col min="5" max="8" width="10.33203125" customWidth="1"/>
    <col min="9" max="9" width="20.88671875" bestFit="1" customWidth="1"/>
    <col min="10" max="10" width="3.44140625" customWidth="1"/>
    <col min="11" max="11" width="14.44140625" customWidth="1"/>
    <col min="12" max="12" width="24" customWidth="1"/>
    <col min="13" max="13" width="9.6640625" bestFit="1" customWidth="1"/>
    <col min="14" max="14" width="10.33203125" bestFit="1" customWidth="1"/>
    <col min="15" max="15" width="7.6640625" customWidth="1"/>
    <col min="18" max="18" width="11.109375" customWidth="1"/>
  </cols>
  <sheetData>
    <row r="1" spans="1:18" ht="18" x14ac:dyDescent="0.35">
      <c r="A1" s="50" t="s">
        <v>105</v>
      </c>
      <c r="B1" s="50"/>
      <c r="C1" s="50"/>
      <c r="D1" s="50"/>
      <c r="E1" s="50"/>
      <c r="F1" s="50"/>
      <c r="G1" s="50"/>
      <c r="H1" s="50"/>
    </row>
    <row r="2" spans="1:18" x14ac:dyDescent="0.3">
      <c r="K2" s="47" t="s">
        <v>14</v>
      </c>
      <c r="L2" s="51"/>
      <c r="M2" s="51"/>
      <c r="N2" s="51"/>
      <c r="O2" s="51"/>
      <c r="P2" s="48"/>
      <c r="Q2" s="18"/>
      <c r="R2" s="18"/>
    </row>
    <row r="3" spans="1:18" x14ac:dyDescent="0.3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K3" s="8"/>
      <c r="L3" s="8"/>
      <c r="M3" s="17" t="s">
        <v>16</v>
      </c>
      <c r="N3" s="17" t="s">
        <v>17</v>
      </c>
      <c r="O3" s="17" t="s">
        <v>20</v>
      </c>
      <c r="P3" s="17" t="s">
        <v>21</v>
      </c>
      <c r="Q3" s="40" t="s">
        <v>106</v>
      </c>
      <c r="R3" s="17"/>
    </row>
    <row r="4" spans="1:18" x14ac:dyDescent="0.3">
      <c r="A4" s="53"/>
      <c r="B4" s="53"/>
      <c r="C4" s="53"/>
      <c r="D4" s="53"/>
      <c r="E4" s="54" t="s">
        <v>5</v>
      </c>
      <c r="F4" s="55"/>
      <c r="G4" s="54" t="s">
        <v>5</v>
      </c>
      <c r="H4" s="55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3">
      <c r="A5" s="1" t="s">
        <v>6</v>
      </c>
      <c r="B5" s="1" t="s">
        <v>7</v>
      </c>
      <c r="C5" s="1" t="s">
        <v>8</v>
      </c>
      <c r="D5" s="1" t="s">
        <v>9</v>
      </c>
      <c r="E5" s="47" t="s">
        <v>10</v>
      </c>
      <c r="F5" s="48"/>
      <c r="G5" s="47" t="s">
        <v>10</v>
      </c>
      <c r="H5" s="48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3">
      <c r="A6" s="5">
        <v>1</v>
      </c>
      <c r="B6" s="6" t="s">
        <v>11</v>
      </c>
      <c r="C6" s="2" t="s">
        <v>12</v>
      </c>
      <c r="D6" s="16">
        <v>8.9988425925925924E-4</v>
      </c>
      <c r="E6" s="44"/>
      <c r="F6" s="44"/>
      <c r="G6" s="44"/>
      <c r="H6" s="41"/>
      <c r="I6" s="28" t="s">
        <v>13</v>
      </c>
    </row>
    <row r="7" spans="1:18" x14ac:dyDescent="0.3">
      <c r="A7" s="7"/>
      <c r="B7" s="8"/>
      <c r="C7" s="4" t="s">
        <v>15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25" t="str" cm="1">
        <f t="array" ref="H7">_xlfn.IFS(G7=2,1,G7=1,2,G6&lt;$D$6,"Too Fast",G6="DQ","DQ")</f>
        <v>Too Fast</v>
      </c>
      <c r="I7" s="28" t="b">
        <v>0</v>
      </c>
    </row>
    <row r="8" spans="1:18" x14ac:dyDescent="0.3">
      <c r="A8" s="5">
        <v>2</v>
      </c>
      <c r="B8" s="10" t="s">
        <v>28</v>
      </c>
      <c r="C8" s="2" t="s">
        <v>12</v>
      </c>
      <c r="D8" s="16">
        <v>8.1469907407407402E-4</v>
      </c>
      <c r="E8" s="41"/>
      <c r="F8" s="42"/>
      <c r="G8" s="41"/>
      <c r="H8" s="43"/>
      <c r="I8" s="28"/>
    </row>
    <row r="9" spans="1:18" x14ac:dyDescent="0.3">
      <c r="A9" s="7"/>
      <c r="B9" s="8"/>
      <c r="C9" s="4" t="s">
        <v>15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25" t="str" cm="1">
        <f t="array" ref="H9">_xlfn.IFS(G9=2,1,G9=1,2,G8&lt;$D$8,"Too Fast",G8="DQ","DQ")</f>
        <v>Too Fast</v>
      </c>
      <c r="I9" s="28" t="b">
        <v>0</v>
      </c>
    </row>
    <row r="10" spans="1:18" x14ac:dyDescent="0.3">
      <c r="A10" s="5">
        <v>3</v>
      </c>
      <c r="B10" s="10" t="s">
        <v>29</v>
      </c>
      <c r="C10" s="2" t="s">
        <v>12</v>
      </c>
      <c r="D10" s="16">
        <v>8.7395833333333336E-4</v>
      </c>
      <c r="E10" s="41"/>
      <c r="F10" s="42"/>
      <c r="G10" s="44"/>
      <c r="H10" s="41"/>
      <c r="I10" s="28"/>
    </row>
    <row r="11" spans="1:18" x14ac:dyDescent="0.3">
      <c r="A11" s="7"/>
      <c r="B11" s="8"/>
      <c r="C11" s="4" t="s">
        <v>15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25" t="str" cm="1">
        <f t="array" ref="H11">_xlfn.IFS(G11=2,1,G11=1,2,G10&lt;$D$10,"Too Fast",G10="DQ","DQ")</f>
        <v>Too Fast</v>
      </c>
      <c r="I11" s="28" t="b">
        <v>0</v>
      </c>
    </row>
    <row r="12" spans="1:18" x14ac:dyDescent="0.3">
      <c r="A12" s="5">
        <v>4</v>
      </c>
      <c r="B12" s="10" t="s">
        <v>30</v>
      </c>
      <c r="C12" s="2" t="s">
        <v>12</v>
      </c>
      <c r="D12" s="16">
        <v>7.6782407407407398E-4</v>
      </c>
      <c r="E12" s="41"/>
      <c r="F12" s="42"/>
      <c r="G12" s="44"/>
      <c r="H12" s="41"/>
      <c r="I12" s="28"/>
    </row>
    <row r="13" spans="1:18" x14ac:dyDescent="0.3">
      <c r="A13" s="7"/>
      <c r="B13" s="8"/>
      <c r="C13" s="4" t="s">
        <v>15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25" t="str" cm="1">
        <f t="array" ref="H13">_xlfn.IFS(G13=2,1,G13=1,2,G12&lt;$D$12,"Too Fast",G12="DQ","DQ")</f>
        <v>Too Fast</v>
      </c>
      <c r="I13" s="28" t="b">
        <v>0</v>
      </c>
    </row>
    <row r="14" spans="1:18" x14ac:dyDescent="0.3">
      <c r="A14" s="5">
        <v>5</v>
      </c>
      <c r="B14" s="10" t="s">
        <v>31</v>
      </c>
      <c r="C14" s="2" t="s">
        <v>32</v>
      </c>
      <c r="D14" s="16">
        <v>1.7106481481481478E-4</v>
      </c>
      <c r="E14" s="41"/>
      <c r="F14" s="42"/>
      <c r="G14" s="44"/>
      <c r="H14" s="41"/>
      <c r="I14" s="28"/>
    </row>
    <row r="15" spans="1:18" x14ac:dyDescent="0.3">
      <c r="A15" s="7"/>
      <c r="B15" s="8"/>
      <c r="C15" s="4" t="s">
        <v>15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25" t="str" cm="1">
        <f t="array" ref="H15">_xlfn.IFS(G15=2,1,G15=1,2,G14&lt;$D$14,"Too Fast",G14="DQ","DQ")</f>
        <v>Too Fast</v>
      </c>
      <c r="I15" s="28" t="b">
        <v>0</v>
      </c>
    </row>
    <row r="16" spans="1:18" x14ac:dyDescent="0.3">
      <c r="A16" s="5">
        <v>6</v>
      </c>
      <c r="B16" s="10" t="s">
        <v>33</v>
      </c>
      <c r="C16" s="2" t="s">
        <v>32</v>
      </c>
      <c r="D16" s="16">
        <v>1.7141203703703706E-4</v>
      </c>
      <c r="E16" s="41"/>
      <c r="F16" s="42"/>
      <c r="G16" s="44"/>
      <c r="H16" s="41"/>
      <c r="I16" s="28"/>
    </row>
    <row r="17" spans="1:9" x14ac:dyDescent="0.3">
      <c r="A17" s="7"/>
      <c r="B17" s="8"/>
      <c r="C17" s="4" t="s">
        <v>15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25" t="str" cm="1">
        <f t="array" ref="H17">_xlfn.IFS(G17=2,1,G17=1,2,G16&lt;$D$16,"Too Fast",G16="DQ","DQ")</f>
        <v>Too Fast</v>
      </c>
      <c r="I17" s="28" t="b">
        <v>0</v>
      </c>
    </row>
    <row r="18" spans="1:9" x14ac:dyDescent="0.3">
      <c r="A18" s="5">
        <v>7</v>
      </c>
      <c r="B18" s="10" t="s">
        <v>34</v>
      </c>
      <c r="C18" s="2" t="s">
        <v>35</v>
      </c>
      <c r="D18" s="16">
        <v>4.8263888888888895E-4</v>
      </c>
      <c r="E18" s="41"/>
      <c r="F18" s="42"/>
      <c r="G18" s="44"/>
      <c r="H18" s="41"/>
      <c r="I18" s="28"/>
    </row>
    <row r="19" spans="1:9" x14ac:dyDescent="0.3">
      <c r="A19" s="7"/>
      <c r="B19" s="8"/>
      <c r="C19" s="4" t="s">
        <v>15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25" t="str" cm="1">
        <f t="array" ref="H19">_xlfn.IFS(G19=2,1,G19=1,2,G18&lt;$D$18,"Too Fast",G18="DQ","DQ")</f>
        <v>Too Fast</v>
      </c>
      <c r="I19" s="28" t="b">
        <v>0</v>
      </c>
    </row>
    <row r="20" spans="1:9" x14ac:dyDescent="0.3">
      <c r="A20" s="5">
        <v>8</v>
      </c>
      <c r="B20" s="10" t="s">
        <v>36</v>
      </c>
      <c r="C20" s="2" t="s">
        <v>35</v>
      </c>
      <c r="D20" s="16">
        <v>4.8379629629629624E-4</v>
      </c>
      <c r="E20" s="41"/>
      <c r="F20" s="42"/>
      <c r="G20" s="44"/>
      <c r="H20" s="41"/>
      <c r="I20" s="28"/>
    </row>
    <row r="21" spans="1:9" x14ac:dyDescent="0.3">
      <c r="A21" s="7"/>
      <c r="B21" s="8"/>
      <c r="C21" s="4" t="s">
        <v>15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25" t="str" cm="1">
        <f t="array" ref="H21">_xlfn.IFS(G21=2,1,G21=1,2,G20&lt;$D$20,"Too Fast",G20="DQ","DQ")</f>
        <v>Too Fast</v>
      </c>
      <c r="I21" s="28" t="b">
        <v>0</v>
      </c>
    </row>
    <row r="22" spans="1:9" x14ac:dyDescent="0.3">
      <c r="A22" s="5">
        <v>9</v>
      </c>
      <c r="B22" s="10" t="s">
        <v>37</v>
      </c>
      <c r="C22" s="2" t="s">
        <v>35</v>
      </c>
      <c r="D22" s="16">
        <v>3.9120370370370367E-4</v>
      </c>
      <c r="E22" s="41"/>
      <c r="F22" s="42"/>
      <c r="G22" s="44"/>
      <c r="H22" s="41"/>
      <c r="I22" s="28"/>
    </row>
    <row r="23" spans="1:9" x14ac:dyDescent="0.3">
      <c r="A23" s="7"/>
      <c r="B23" s="8"/>
      <c r="C23" s="4" t="s">
        <v>15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25" t="str" cm="1">
        <f t="array" ref="H23">_xlfn.IFS(G23=2,1,G23=1,2,G22&lt;$D$22,"Too Fast",G22="DQ","DQ")</f>
        <v>Too Fast</v>
      </c>
      <c r="I23" s="28" t="b">
        <v>0</v>
      </c>
    </row>
    <row r="24" spans="1:9" x14ac:dyDescent="0.3">
      <c r="A24" s="5">
        <v>10</v>
      </c>
      <c r="B24" s="10" t="s">
        <v>38</v>
      </c>
      <c r="C24" s="2" t="s">
        <v>35</v>
      </c>
      <c r="D24" s="16">
        <v>3.8310185185185186E-4</v>
      </c>
      <c r="E24" s="41"/>
      <c r="F24" s="42"/>
      <c r="G24" s="44"/>
      <c r="H24" s="41"/>
      <c r="I24" s="28"/>
    </row>
    <row r="25" spans="1:9" x14ac:dyDescent="0.3">
      <c r="A25" s="7"/>
      <c r="B25" s="8"/>
      <c r="C25" s="4" t="s">
        <v>15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25" t="str" cm="1">
        <f t="array" ref="H25">_xlfn.IFS(G25=2,1,G25=1,2,G24&lt;$D$24,"Too Fast",G24="DQ","DQ")</f>
        <v>Too Fast</v>
      </c>
      <c r="I25" s="28" t="b">
        <v>0</v>
      </c>
    </row>
    <row r="26" spans="1:9" x14ac:dyDescent="0.3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26"/>
      <c r="I26" s="28"/>
    </row>
    <row r="27" spans="1:9" x14ac:dyDescent="0.3">
      <c r="A27" s="5">
        <v>11</v>
      </c>
      <c r="B27" s="10" t="s">
        <v>40</v>
      </c>
      <c r="C27" s="2" t="s">
        <v>12</v>
      </c>
      <c r="D27" s="16">
        <v>8.2986111111111119E-4</v>
      </c>
      <c r="E27" s="44"/>
      <c r="F27" s="44"/>
      <c r="G27" s="44"/>
      <c r="H27" s="41"/>
      <c r="I27" s="28"/>
    </row>
    <row r="28" spans="1:9" x14ac:dyDescent="0.3">
      <c r="A28" s="7"/>
      <c r="B28" s="8"/>
      <c r="C28" s="4" t="s">
        <v>15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25" t="str" cm="1">
        <f t="array" ref="H28">_xlfn.IFS(G28=2,1,G28=1,2,G27&lt;$D$27,"Too Fast",G27="DQ","DQ")</f>
        <v>Too Fast</v>
      </c>
      <c r="I28" s="28" t="b">
        <v>0</v>
      </c>
    </row>
    <row r="29" spans="1:9" x14ac:dyDescent="0.3">
      <c r="A29" s="5">
        <v>12</v>
      </c>
      <c r="B29" s="10" t="s">
        <v>41</v>
      </c>
      <c r="C29" s="2" t="s">
        <v>12</v>
      </c>
      <c r="D29" s="16">
        <v>7.164351851851853E-4</v>
      </c>
      <c r="E29" s="44"/>
      <c r="F29" s="44"/>
      <c r="G29" s="44"/>
      <c r="H29" s="41"/>
      <c r="I29" s="28"/>
    </row>
    <row r="30" spans="1:9" x14ac:dyDescent="0.3">
      <c r="A30" s="7"/>
      <c r="B30" s="8"/>
      <c r="C30" s="4" t="s">
        <v>15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25" t="str" cm="1">
        <f t="array" ref="H30">_xlfn.IFS(G30=2,1,G30=1,2,G29&lt;$D$29,"Too Fast",G29="DQ","DQ")</f>
        <v>Too Fast</v>
      </c>
      <c r="I30" s="28" t="b">
        <v>0</v>
      </c>
    </row>
    <row r="31" spans="1:9" x14ac:dyDescent="0.3">
      <c r="A31" s="5">
        <v>13</v>
      </c>
      <c r="B31" s="10" t="s">
        <v>42</v>
      </c>
      <c r="C31" s="2" t="s">
        <v>12</v>
      </c>
      <c r="D31" s="16">
        <v>8.0243055555555547E-4</v>
      </c>
      <c r="E31" s="44"/>
      <c r="F31" s="44"/>
      <c r="G31" s="44"/>
      <c r="H31" s="41"/>
      <c r="I31" s="28"/>
    </row>
    <row r="32" spans="1:9" x14ac:dyDescent="0.3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25" t="str" cm="1">
        <f t="array" ref="H32">_xlfn.IFS(G32=2,1,G32=1,2,G31&lt;$D$31,"Too Fast",G31="DQ","DQ")</f>
        <v>Too Fast</v>
      </c>
      <c r="I32" s="28" t="b">
        <v>0</v>
      </c>
    </row>
    <row r="33" spans="1:9" x14ac:dyDescent="0.3">
      <c r="A33" s="5">
        <v>14</v>
      </c>
      <c r="B33" s="10" t="s">
        <v>43</v>
      </c>
      <c r="C33" s="2" t="s">
        <v>12</v>
      </c>
      <c r="D33" s="16">
        <v>7.9502314814814811E-4</v>
      </c>
      <c r="E33" s="44"/>
      <c r="F33" s="44"/>
      <c r="G33" s="44"/>
      <c r="H33" s="41"/>
      <c r="I33" s="28"/>
    </row>
    <row r="34" spans="1:9" x14ac:dyDescent="0.3">
      <c r="A34" s="7"/>
      <c r="B34" s="8"/>
      <c r="C34" s="4" t="s">
        <v>15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25" t="str" cm="1">
        <f t="array" ref="H34">_xlfn.IFS(G34=2,1,G34=1,2,G33&lt;$D$33,"Too Fast",G33="DQ","DQ")</f>
        <v>Too Fast</v>
      </c>
      <c r="I34" s="28" t="b">
        <v>0</v>
      </c>
    </row>
    <row r="35" spans="1:9" x14ac:dyDescent="0.3">
      <c r="A35" s="5">
        <v>15</v>
      </c>
      <c r="B35" s="10" t="s">
        <v>44</v>
      </c>
      <c r="C35" s="2" t="s">
        <v>12</v>
      </c>
      <c r="D35" s="16">
        <v>6.6747685185185182E-4</v>
      </c>
      <c r="E35" s="44"/>
      <c r="F35" s="44"/>
      <c r="G35" s="44"/>
      <c r="H35" s="41"/>
      <c r="I35" s="28"/>
    </row>
    <row r="36" spans="1:9" x14ac:dyDescent="0.3">
      <c r="A36" s="7"/>
      <c r="B36" s="8"/>
      <c r="C36" s="4" t="s">
        <v>15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25" t="str" cm="1">
        <f t="array" ref="H36">_xlfn.IFS(G36=2,1,G36=1,2,G35&lt;$D$35,"Too Fast",G35="DQ","DQ")</f>
        <v>Too Fast</v>
      </c>
      <c r="I36" s="28" t="b">
        <v>0</v>
      </c>
    </row>
    <row r="37" spans="1:9" x14ac:dyDescent="0.3">
      <c r="A37" s="5">
        <v>16</v>
      </c>
      <c r="B37" s="10" t="s">
        <v>45</v>
      </c>
      <c r="C37" s="2" t="s">
        <v>12</v>
      </c>
      <c r="D37" s="16">
        <v>6.3738425925925931E-4</v>
      </c>
      <c r="E37" s="44"/>
      <c r="F37" s="44"/>
      <c r="G37" s="44"/>
      <c r="H37" s="41"/>
      <c r="I37" s="28"/>
    </row>
    <row r="38" spans="1:9" x14ac:dyDescent="0.3">
      <c r="A38" s="7"/>
      <c r="B38" s="8"/>
      <c r="C38" s="4" t="s">
        <v>15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25" t="str" cm="1">
        <f t="array" ref="H38">_xlfn.IFS(G38=2,1,G38=1,2,G37&lt;$D$37,"Too Fast",G37="DQ","DQ")</f>
        <v>Too Fast</v>
      </c>
      <c r="I38" s="28" t="b">
        <v>0</v>
      </c>
    </row>
    <row r="39" spans="1:9" x14ac:dyDescent="0.3">
      <c r="A39" s="5">
        <v>17</v>
      </c>
      <c r="B39" s="10" t="s">
        <v>46</v>
      </c>
      <c r="C39" s="2" t="s">
        <v>35</v>
      </c>
      <c r="D39" s="16">
        <v>4.4560185185185192E-4</v>
      </c>
      <c r="E39" s="44"/>
      <c r="F39" s="44"/>
      <c r="G39" s="44"/>
      <c r="H39" s="41"/>
      <c r="I39" s="28"/>
    </row>
    <row r="40" spans="1:9" x14ac:dyDescent="0.3">
      <c r="A40" s="7"/>
      <c r="B40" s="8"/>
      <c r="C40" s="4" t="s">
        <v>15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25" t="str" cm="1">
        <f t="array" ref="H40">_xlfn.IFS(G40=2,1,G40=1,2,G39&lt;$D$39,"Too Fast",G39="DQ","DQ")</f>
        <v>Too Fast</v>
      </c>
      <c r="I40" s="28" t="b">
        <v>0</v>
      </c>
    </row>
    <row r="41" spans="1:9" x14ac:dyDescent="0.3">
      <c r="A41" s="5">
        <v>18</v>
      </c>
      <c r="B41" s="10" t="s">
        <v>47</v>
      </c>
      <c r="C41" s="2" t="s">
        <v>35</v>
      </c>
      <c r="D41" s="16">
        <v>4.3287037037037035E-4</v>
      </c>
      <c r="E41" s="44"/>
      <c r="F41" s="44"/>
      <c r="G41" s="44"/>
      <c r="H41" s="41"/>
      <c r="I41" s="28"/>
    </row>
    <row r="42" spans="1:9" x14ac:dyDescent="0.3">
      <c r="A42" s="7"/>
      <c r="B42" s="8"/>
      <c r="C42" s="4" t="s">
        <v>15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25" t="str" cm="1">
        <f t="array" ref="H42">_xlfn.IFS(G42=2,1,G42=1,2,G41&lt;$D$41,"Too Fast",G41="DQ","DQ")</f>
        <v>Too Fast</v>
      </c>
      <c r="I42" s="28" t="b">
        <v>0</v>
      </c>
    </row>
    <row r="43" spans="1:9" x14ac:dyDescent="0.3">
      <c r="A43" s="5">
        <v>19</v>
      </c>
      <c r="B43" s="10" t="s">
        <v>48</v>
      </c>
      <c r="C43" s="2" t="s">
        <v>12</v>
      </c>
      <c r="D43" s="16">
        <v>8.0439814814814816E-4</v>
      </c>
      <c r="E43" s="44"/>
      <c r="F43" s="44"/>
      <c r="G43" s="44"/>
      <c r="H43" s="41"/>
      <c r="I43" s="28"/>
    </row>
    <row r="44" spans="1:9" x14ac:dyDescent="0.3">
      <c r="A44" s="7"/>
      <c r="B44" s="8"/>
      <c r="C44" s="4" t="s">
        <v>15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25" t="str" cm="1">
        <f t="array" ref="H44">_xlfn.IFS(G44=2,1,G44=1,2,G43&lt;$D$43,"Too Fast",G43="DQ","DQ")</f>
        <v>Too Fast</v>
      </c>
      <c r="I44" s="28" t="b">
        <v>0</v>
      </c>
    </row>
    <row r="45" spans="1:9" x14ac:dyDescent="0.3">
      <c r="A45" s="5">
        <v>20</v>
      </c>
      <c r="B45" s="10" t="s">
        <v>49</v>
      </c>
      <c r="C45" s="2" t="s">
        <v>12</v>
      </c>
      <c r="D45" s="16">
        <v>7.337962962962963E-4</v>
      </c>
      <c r="E45" s="44"/>
      <c r="F45" s="44"/>
      <c r="G45" s="44"/>
      <c r="H45" s="41"/>
      <c r="I45" s="28"/>
    </row>
    <row r="46" spans="1:9" x14ac:dyDescent="0.3">
      <c r="A46" s="7"/>
      <c r="B46" s="8"/>
      <c r="C46" s="4" t="s">
        <v>15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25" t="str" cm="1">
        <f t="array" ref="H46">_xlfn.IFS(G46=2,1,G46=1,2,G45&lt;$D$45,"Too Fast",G45="DQ","DQ")</f>
        <v>Too Fast</v>
      </c>
      <c r="I46" s="28" t="b">
        <v>0</v>
      </c>
    </row>
    <row r="47" spans="1:9" x14ac:dyDescent="0.3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27"/>
      <c r="I47" s="28"/>
    </row>
    <row r="48" spans="1:9" x14ac:dyDescent="0.3">
      <c r="A48" s="5">
        <v>21</v>
      </c>
      <c r="B48" s="10" t="s">
        <v>51</v>
      </c>
      <c r="C48" s="2" t="s">
        <v>32</v>
      </c>
      <c r="D48" s="16">
        <v>1.8703703703703702E-4</v>
      </c>
      <c r="E48" s="44"/>
      <c r="F48" s="44"/>
      <c r="G48" s="44"/>
      <c r="H48" s="41"/>
      <c r="I48" s="28"/>
    </row>
    <row r="49" spans="1:9" x14ac:dyDescent="0.3">
      <c r="A49" s="7"/>
      <c r="B49" s="8"/>
      <c r="C49" s="4" t="s">
        <v>15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25" t="str" cm="1">
        <f t="array" ref="H49">_xlfn.IFS(G49=2,1,G49=1,2,G48&lt;$D$48,"Too Fast",G48="DQ","DQ")</f>
        <v>Too Fast</v>
      </c>
      <c r="I49" s="28" t="b">
        <v>0</v>
      </c>
    </row>
    <row r="50" spans="1:9" x14ac:dyDescent="0.3">
      <c r="A50" s="5">
        <v>22</v>
      </c>
      <c r="B50" s="10" t="s">
        <v>52</v>
      </c>
      <c r="C50" s="2" t="s">
        <v>32</v>
      </c>
      <c r="D50" s="16">
        <v>1.8969907407407409E-4</v>
      </c>
      <c r="E50" s="44"/>
      <c r="F50" s="44"/>
      <c r="G50" s="44"/>
      <c r="H50" s="41"/>
      <c r="I50" s="28"/>
    </row>
    <row r="51" spans="1:9" x14ac:dyDescent="0.3">
      <c r="A51" s="7"/>
      <c r="B51" s="8"/>
      <c r="C51" s="4" t="s">
        <v>15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25" t="str" cm="1">
        <f t="array" ref="H51">_xlfn.IFS(G51=2,1,G51=1,2,G50&lt;$D$50,"Too Fast",G50="DQ","DQ")</f>
        <v>Too Fast</v>
      </c>
      <c r="I51" s="28" t="b">
        <v>0</v>
      </c>
    </row>
    <row r="52" spans="1:9" x14ac:dyDescent="0.3">
      <c r="A52" s="5">
        <v>23</v>
      </c>
      <c r="B52" s="10" t="s">
        <v>53</v>
      </c>
      <c r="C52" s="2" t="s">
        <v>35</v>
      </c>
      <c r="D52" s="16">
        <v>3.5300925925925924E-4</v>
      </c>
      <c r="E52" s="44"/>
      <c r="F52" s="44"/>
      <c r="G52" s="44"/>
      <c r="H52" s="41"/>
      <c r="I52" s="28"/>
    </row>
    <row r="53" spans="1:9" x14ac:dyDescent="0.3">
      <c r="A53" s="7"/>
      <c r="B53" s="8"/>
      <c r="C53" s="4" t="s">
        <v>15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25" t="str" cm="1">
        <f t="array" ref="H53">_xlfn.IFS(G53=2,1,G53=1,2,G52&lt;$D$52,"Too Fast",G52="DQ","DQ")</f>
        <v>Too Fast</v>
      </c>
      <c r="I53" s="28" t="b">
        <v>0</v>
      </c>
    </row>
    <row r="54" spans="1:9" x14ac:dyDescent="0.3">
      <c r="A54" s="5">
        <v>24</v>
      </c>
      <c r="B54" s="10" t="s">
        <v>54</v>
      </c>
      <c r="C54" s="2" t="s">
        <v>35</v>
      </c>
      <c r="D54" s="16">
        <v>3.5416666666666669E-4</v>
      </c>
      <c r="E54" s="44"/>
      <c r="F54" s="44"/>
      <c r="G54" s="44"/>
      <c r="H54" s="41"/>
      <c r="I54" s="28"/>
    </row>
    <row r="55" spans="1:9" x14ac:dyDescent="0.3">
      <c r="A55" s="7"/>
      <c r="B55" s="8"/>
      <c r="C55" s="4" t="s">
        <v>15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25" t="str" cm="1">
        <f t="array" ref="H55">_xlfn.IFS(G55=2,1,G55=1,2,G54&lt;$D$54,"Too Fast",G54="DQ","DQ")</f>
        <v>Too Fast</v>
      </c>
      <c r="I55" s="28" t="b">
        <v>0</v>
      </c>
    </row>
    <row r="56" spans="1:9" x14ac:dyDescent="0.3">
      <c r="A56" s="5">
        <v>25</v>
      </c>
      <c r="B56" s="10" t="s">
        <v>55</v>
      </c>
      <c r="C56" s="2" t="s">
        <v>56</v>
      </c>
      <c r="D56" s="16">
        <v>1.5381944444444445E-3</v>
      </c>
      <c r="E56" s="44"/>
      <c r="F56" s="44"/>
      <c r="G56" s="44"/>
      <c r="H56" s="41"/>
      <c r="I56" s="28"/>
    </row>
    <row r="57" spans="1:9" x14ac:dyDescent="0.3">
      <c r="A57" s="7"/>
      <c r="B57" s="8"/>
      <c r="C57" s="4" t="s">
        <v>15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25" t="str" cm="1">
        <f t="array" ref="H57">_xlfn.IFS(G57=2,1,G57=1,2,G56&lt;$D$56,"Too Fast",G56="DQ","DQ")</f>
        <v>Too Fast</v>
      </c>
      <c r="I57" s="28" t="b">
        <v>0</v>
      </c>
    </row>
    <row r="58" spans="1:9" x14ac:dyDescent="0.3">
      <c r="A58" s="5">
        <v>26</v>
      </c>
      <c r="B58" s="10" t="s">
        <v>57</v>
      </c>
      <c r="C58" s="2" t="s">
        <v>56</v>
      </c>
      <c r="D58" s="16">
        <v>1.4189814814814814E-3</v>
      </c>
      <c r="E58" s="44"/>
      <c r="F58" s="44"/>
      <c r="G58" s="44"/>
      <c r="H58" s="41"/>
      <c r="I58" s="28"/>
    </row>
    <row r="59" spans="1:9" x14ac:dyDescent="0.3">
      <c r="A59" s="7"/>
      <c r="B59" s="8"/>
      <c r="C59" s="4" t="s">
        <v>15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25" t="str" cm="1">
        <f t="array" ref="H59">_xlfn.IFS(G59=2,1,G59=1,2,G58&lt;$D$58,"Too Fast",G58="DQ","DQ")</f>
        <v>Too Fast</v>
      </c>
      <c r="I59" s="28" t="b">
        <v>0</v>
      </c>
    </row>
    <row r="60" spans="1:9" x14ac:dyDescent="0.3">
      <c r="A60" s="5">
        <v>27</v>
      </c>
      <c r="B60" s="10" t="s">
        <v>58</v>
      </c>
      <c r="C60" s="2" t="s">
        <v>56</v>
      </c>
      <c r="D60" s="16">
        <v>1.5170138888888889E-3</v>
      </c>
      <c r="E60" s="44"/>
      <c r="F60" s="44"/>
      <c r="G60" s="44"/>
      <c r="H60" s="41"/>
      <c r="I60" s="28"/>
    </row>
    <row r="61" spans="1:9" x14ac:dyDescent="0.3">
      <c r="A61" s="7"/>
      <c r="B61" s="8"/>
      <c r="C61" s="4" t="s">
        <v>15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25" t="str" cm="1">
        <f t="array" ref="H61">_xlfn.IFS(G61=2,1,G61=1,2,G60&lt;$D$60,"Too Fast",G60="DQ","DQ")</f>
        <v>Too Fast</v>
      </c>
      <c r="I61" s="28" t="b">
        <v>0</v>
      </c>
    </row>
    <row r="62" spans="1:9" x14ac:dyDescent="0.3">
      <c r="A62" s="5">
        <v>28</v>
      </c>
      <c r="B62" s="10" t="s">
        <v>59</v>
      </c>
      <c r="C62" s="2" t="s">
        <v>56</v>
      </c>
      <c r="D62" s="16">
        <v>1.3824074074074075E-3</v>
      </c>
      <c r="E62" s="44"/>
      <c r="F62" s="44"/>
      <c r="G62" s="44"/>
      <c r="H62" s="41"/>
      <c r="I62" s="28"/>
    </row>
    <row r="63" spans="1:9" x14ac:dyDescent="0.3">
      <c r="A63" s="7"/>
      <c r="B63" s="8"/>
      <c r="C63" s="4" t="s">
        <v>15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25" t="str" cm="1">
        <f t="array" ref="H63">_xlfn.IFS(G63=2,1,G63=1,2,G62&lt;$D$62,"Too Fast",G62="DQ","DQ")</f>
        <v>Too Fast</v>
      </c>
      <c r="I63" s="28" t="b">
        <v>0</v>
      </c>
    </row>
    <row r="64" spans="1:9" x14ac:dyDescent="0.3">
      <c r="A64" s="5">
        <v>29</v>
      </c>
      <c r="B64" s="10" t="s">
        <v>60</v>
      </c>
      <c r="C64" s="2" t="s">
        <v>32</v>
      </c>
      <c r="D64" s="16">
        <v>2.0972222222222223E-4</v>
      </c>
      <c r="E64" s="44"/>
      <c r="F64" s="44"/>
      <c r="G64" s="44"/>
      <c r="H64" s="41"/>
      <c r="I64" s="28"/>
    </row>
    <row r="65" spans="1:9" x14ac:dyDescent="0.3">
      <c r="A65" s="7"/>
      <c r="B65" s="8"/>
      <c r="C65" s="4" t="s">
        <v>15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25" t="str" cm="1">
        <f t="array" ref="H65">_xlfn.IFS(G65=2,1,G65=1,2,G64&lt;$D$64,"Too Fast",G64="DQ","DQ")</f>
        <v>Too Fast</v>
      </c>
      <c r="I65" s="28" t="b">
        <v>0</v>
      </c>
    </row>
    <row r="66" spans="1:9" x14ac:dyDescent="0.3">
      <c r="A66" s="5">
        <v>30</v>
      </c>
      <c r="B66" s="10" t="s">
        <v>61</v>
      </c>
      <c r="C66" s="2" t="s">
        <v>32</v>
      </c>
      <c r="D66" s="16">
        <v>2.1087962962962963E-4</v>
      </c>
      <c r="E66" s="44"/>
      <c r="F66" s="44"/>
      <c r="G66" s="44"/>
      <c r="H66" s="41"/>
      <c r="I66" s="28"/>
    </row>
    <row r="67" spans="1:9" x14ac:dyDescent="0.3">
      <c r="A67" s="7"/>
      <c r="B67" s="8"/>
      <c r="C67" s="4" t="s">
        <v>15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25" t="str" cm="1">
        <f t="array" ref="H67">_xlfn.IFS(G67=2,1,G67=1,2,G66&lt;$D$66,"Too Fast",G66="DQ","DQ")</f>
        <v>Too Fast</v>
      </c>
      <c r="I67" s="28" t="b">
        <v>0</v>
      </c>
    </row>
    <row r="68" spans="1:9" x14ac:dyDescent="0.3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27"/>
      <c r="I68" s="28"/>
    </row>
    <row r="69" spans="1:9" x14ac:dyDescent="0.3">
      <c r="A69" s="5">
        <v>31</v>
      </c>
      <c r="B69" s="10" t="s">
        <v>63</v>
      </c>
      <c r="C69" s="2" t="s">
        <v>35</v>
      </c>
      <c r="D69" s="16">
        <v>4.0509259259259258E-4</v>
      </c>
      <c r="E69" s="41"/>
      <c r="F69" s="42"/>
      <c r="G69" s="41"/>
      <c r="H69" s="43"/>
      <c r="I69" s="28"/>
    </row>
    <row r="70" spans="1:9" x14ac:dyDescent="0.3">
      <c r="A70" s="7"/>
      <c r="B70" s="8"/>
      <c r="C70" s="4" t="s">
        <v>15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25" t="str" cm="1">
        <f t="array" ref="H70">_xlfn.IFS(G70=2,1,G70=1,2,G69&lt;$D$69,"Too Fast",G69="DQ","DQ")</f>
        <v>Too Fast</v>
      </c>
      <c r="I70" s="28" t="b">
        <v>0</v>
      </c>
    </row>
    <row r="71" spans="1:9" x14ac:dyDescent="0.3">
      <c r="A71" s="5">
        <v>32</v>
      </c>
      <c r="B71" s="10" t="s">
        <v>64</v>
      </c>
      <c r="C71" s="2" t="s">
        <v>35</v>
      </c>
      <c r="D71" s="16">
        <v>4.1087962962962958E-4</v>
      </c>
      <c r="E71" s="41"/>
      <c r="F71" s="42"/>
      <c r="G71" s="41"/>
      <c r="H71" s="43"/>
      <c r="I71" s="28"/>
    </row>
    <row r="72" spans="1:9" x14ac:dyDescent="0.3">
      <c r="A72" s="7"/>
      <c r="B72" s="8"/>
      <c r="C72" s="4" t="s">
        <v>15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25" t="str" cm="1">
        <f t="array" ref="H72">_xlfn.IFS(G72=2,1,G72=1,2,G71&lt;$D$71,"Too Fast",G71="DQ","DQ")</f>
        <v>Too Fast</v>
      </c>
      <c r="I72" s="28" t="b">
        <v>0</v>
      </c>
    </row>
    <row r="73" spans="1:9" x14ac:dyDescent="0.3">
      <c r="A73" s="5">
        <v>33</v>
      </c>
      <c r="B73" s="10" t="s">
        <v>65</v>
      </c>
      <c r="C73" s="2" t="s">
        <v>35</v>
      </c>
      <c r="D73" s="16">
        <v>3.3912037037037032E-4</v>
      </c>
      <c r="E73" s="41"/>
      <c r="F73" s="42"/>
      <c r="G73" s="41"/>
      <c r="H73" s="43"/>
      <c r="I73" s="28"/>
    </row>
    <row r="74" spans="1:9" x14ac:dyDescent="0.3">
      <c r="A74" s="7"/>
      <c r="B74" s="8"/>
      <c r="C74" s="4" t="s">
        <v>15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25" t="str" cm="1">
        <f t="array" ref="H74">_xlfn.IFS(G74=2,1,G74=1,2,G73&lt;$D$73,"Too Fast",G73="DQ","DQ")</f>
        <v>Too Fast</v>
      </c>
      <c r="I74" s="28" t="b">
        <v>0</v>
      </c>
    </row>
    <row r="75" spans="1:9" x14ac:dyDescent="0.3">
      <c r="A75" s="5">
        <v>34</v>
      </c>
      <c r="B75" s="10" t="s">
        <v>66</v>
      </c>
      <c r="C75" s="2" t="s">
        <v>35</v>
      </c>
      <c r="D75" s="16">
        <v>3.2523148148148152E-4</v>
      </c>
      <c r="E75" s="41"/>
      <c r="F75" s="42"/>
      <c r="G75" s="41"/>
      <c r="H75" s="43"/>
      <c r="I75" s="28"/>
    </row>
    <row r="76" spans="1:9" x14ac:dyDescent="0.3">
      <c r="A76" s="7"/>
      <c r="B76" s="8"/>
      <c r="C76" s="4" t="s">
        <v>15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25" t="str" cm="1">
        <f t="array" ref="H76">_xlfn.IFS(G76=2,1,G76=1,2,G75&lt;$D$75,"Too Fast",G75="DQ","DQ")</f>
        <v>Too Fast</v>
      </c>
      <c r="I76" s="28" t="b">
        <v>0</v>
      </c>
    </row>
    <row r="77" spans="1:9" x14ac:dyDescent="0.3">
      <c r="A77" s="5">
        <v>35</v>
      </c>
      <c r="B77" s="10" t="s">
        <v>67</v>
      </c>
      <c r="C77" s="2" t="s">
        <v>12</v>
      </c>
      <c r="D77" s="16">
        <v>9.5023148148148159E-4</v>
      </c>
      <c r="E77" s="41"/>
      <c r="F77" s="42"/>
      <c r="G77" s="41"/>
      <c r="H77" s="43"/>
      <c r="I77" s="28"/>
    </row>
    <row r="78" spans="1:9" x14ac:dyDescent="0.3">
      <c r="A78" s="7"/>
      <c r="B78" s="8"/>
      <c r="C78" s="4" t="s">
        <v>15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25" t="str" cm="1">
        <f t="array" ref="H78">_xlfn.IFS(G78=2,1,G78=1,2,G77&lt;$D$77,"Too Fast",G77="DQ","DQ")</f>
        <v>Too Fast</v>
      </c>
      <c r="I78" s="28" t="b">
        <v>0</v>
      </c>
    </row>
    <row r="79" spans="1:9" x14ac:dyDescent="0.3">
      <c r="A79" s="5">
        <v>36</v>
      </c>
      <c r="B79" s="10" t="s">
        <v>68</v>
      </c>
      <c r="C79" s="2" t="s">
        <v>12</v>
      </c>
      <c r="D79" s="16">
        <v>8.5532407407407399E-4</v>
      </c>
      <c r="E79" s="41"/>
      <c r="F79" s="42"/>
      <c r="G79" s="41"/>
      <c r="H79" s="43"/>
      <c r="I79" s="28"/>
    </row>
    <row r="80" spans="1:9" x14ac:dyDescent="0.3">
      <c r="A80" s="7"/>
      <c r="B80" s="8"/>
      <c r="C80" s="4" t="s">
        <v>15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25" t="str" cm="1">
        <f t="array" ref="H80">_xlfn.IFS(G80=2,1,G80=1,2,G79&lt;$D$79,"Too Fast",G79="DQ","DQ")</f>
        <v>Too Fast</v>
      </c>
      <c r="I80" s="28" t="b">
        <v>0</v>
      </c>
    </row>
    <row r="81" spans="1:9" x14ac:dyDescent="0.3">
      <c r="A81" s="5">
        <v>37</v>
      </c>
      <c r="B81" s="10" t="s">
        <v>69</v>
      </c>
      <c r="C81" s="2" t="s">
        <v>12</v>
      </c>
      <c r="D81" s="16">
        <v>6.8425925925925913E-4</v>
      </c>
      <c r="E81" s="41"/>
      <c r="F81" s="42"/>
      <c r="G81" s="41"/>
      <c r="H81" s="43"/>
      <c r="I81" s="28"/>
    </row>
    <row r="82" spans="1:9" x14ac:dyDescent="0.3">
      <c r="A82" s="7"/>
      <c r="B82" s="8"/>
      <c r="C82" s="4" t="s">
        <v>15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25" t="str" cm="1">
        <f t="array" ref="H82">_xlfn.IFS(G82=2,1,G82=1,2,G81&lt;$D$81,"Too Fast",G81="DQ","DQ")</f>
        <v>Too Fast</v>
      </c>
      <c r="I82" s="28" t="b">
        <v>0</v>
      </c>
    </row>
    <row r="83" spans="1:9" x14ac:dyDescent="0.3">
      <c r="A83" s="5">
        <v>38</v>
      </c>
      <c r="B83" s="10" t="s">
        <v>70</v>
      </c>
      <c r="C83" s="2" t="s">
        <v>12</v>
      </c>
      <c r="D83" s="16">
        <v>6.8564814814814823E-4</v>
      </c>
      <c r="E83" s="41"/>
      <c r="F83" s="42"/>
      <c r="G83" s="41"/>
      <c r="H83" s="43"/>
      <c r="I83" s="28"/>
    </row>
    <row r="84" spans="1:9" x14ac:dyDescent="0.3">
      <c r="A84" s="7"/>
      <c r="B84" s="8"/>
      <c r="C84" s="4" t="s">
        <v>15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25" t="str" cm="1">
        <f t="array" ref="H84">_xlfn.IFS(G84=2,1,G84=1,2,G83&lt;$D$83,"Too Fast",G83="DQ","DQ")</f>
        <v>Too Fast</v>
      </c>
      <c r="I84" s="28" t="b">
        <v>0</v>
      </c>
    </row>
    <row r="85" spans="1:9" x14ac:dyDescent="0.3">
      <c r="A85" s="5">
        <v>39</v>
      </c>
      <c r="B85" s="10" t="s">
        <v>71</v>
      </c>
      <c r="C85" s="2" t="s">
        <v>12</v>
      </c>
      <c r="D85" s="16">
        <v>7.4768518518518511E-4</v>
      </c>
      <c r="E85" s="41"/>
      <c r="F85" s="42"/>
      <c r="G85" s="41"/>
      <c r="H85" s="43"/>
      <c r="I85" s="28"/>
    </row>
    <row r="86" spans="1:9" x14ac:dyDescent="0.3">
      <c r="A86" s="7"/>
      <c r="B86" s="8"/>
      <c r="C86" s="4" t="s">
        <v>15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25" t="str" cm="1">
        <f t="array" ref="H86">_xlfn.IFS(G86=2,1,G86=1,2,G85&lt;$D$85,"Too Fast",G85="DQ","DQ")</f>
        <v>Too Fast</v>
      </c>
      <c r="I86" s="28" t="b">
        <v>0</v>
      </c>
    </row>
    <row r="87" spans="1:9" x14ac:dyDescent="0.3">
      <c r="A87" s="5">
        <v>40</v>
      </c>
      <c r="B87" s="10" t="s">
        <v>72</v>
      </c>
      <c r="C87" s="2" t="s">
        <v>12</v>
      </c>
      <c r="D87" s="16">
        <v>7.1921296296296306E-4</v>
      </c>
      <c r="E87" s="41"/>
      <c r="F87" s="42"/>
      <c r="G87" s="41"/>
      <c r="H87" s="43"/>
      <c r="I87" s="28"/>
    </row>
    <row r="88" spans="1:9" x14ac:dyDescent="0.3">
      <c r="A88" s="7"/>
      <c r="B88" s="8"/>
      <c r="C88" s="4" t="s">
        <v>15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25" t="str" cm="1">
        <f t="array" ref="H88">_xlfn.IFS(G88=2,1,G88=1,2,G87&lt;$D$87,"Too Fast",G87="DQ","DQ")</f>
        <v>Too Fast</v>
      </c>
      <c r="I88" s="28" t="b">
        <v>0</v>
      </c>
    </row>
    <row r="89" spans="1:9" x14ac:dyDescent="0.3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27"/>
      <c r="I89" s="28"/>
    </row>
    <row r="90" spans="1:9" x14ac:dyDescent="0.3">
      <c r="A90" s="5">
        <v>41</v>
      </c>
      <c r="B90" s="10" t="s">
        <v>74</v>
      </c>
      <c r="C90" s="2" t="s">
        <v>35</v>
      </c>
      <c r="D90" s="16">
        <v>3.7615740740740735E-4</v>
      </c>
      <c r="E90" s="41"/>
      <c r="F90" s="42"/>
      <c r="G90" s="41"/>
      <c r="H90" s="43"/>
      <c r="I90" s="28"/>
    </row>
    <row r="91" spans="1:9" x14ac:dyDescent="0.3">
      <c r="A91" s="7"/>
      <c r="B91" s="8"/>
      <c r="C91" s="4" t="s">
        <v>15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25" t="str" cm="1">
        <f t="array" ref="H91">_xlfn.IFS(G91=2,1,G91=1,2,G90&lt;$D$90,"Too Fast",G90="DQ","DQ")</f>
        <v>Too Fast</v>
      </c>
      <c r="I91" s="28" t="b">
        <v>0</v>
      </c>
    </row>
    <row r="92" spans="1:9" x14ac:dyDescent="0.3">
      <c r="A92" s="5">
        <v>42</v>
      </c>
      <c r="B92" s="10" t="s">
        <v>75</v>
      </c>
      <c r="C92" s="2" t="s">
        <v>35</v>
      </c>
      <c r="D92" s="16">
        <v>3.6458333333333335E-4</v>
      </c>
      <c r="E92" s="41"/>
      <c r="F92" s="42"/>
      <c r="G92" s="41"/>
      <c r="H92" s="43"/>
      <c r="I92" s="28"/>
    </row>
    <row r="93" spans="1:9" x14ac:dyDescent="0.3">
      <c r="A93" s="7"/>
      <c r="B93" s="8"/>
      <c r="C93" s="4" t="s">
        <v>15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25" t="str" cm="1">
        <f t="array" ref="H93">_xlfn.IFS(G93=2,1,G93=1,2,G92&lt;$D$92,"Too Fast",G92="DQ","DQ")</f>
        <v>Too Fast</v>
      </c>
      <c r="I93" s="28" t="b">
        <v>0</v>
      </c>
    </row>
    <row r="94" spans="1:9" x14ac:dyDescent="0.3">
      <c r="A94" s="5">
        <v>43</v>
      </c>
      <c r="B94" s="10" t="s">
        <v>76</v>
      </c>
      <c r="C94" s="2" t="s">
        <v>12</v>
      </c>
      <c r="D94" s="16">
        <v>7.1874999999999988E-4</v>
      </c>
      <c r="E94" s="41"/>
      <c r="F94" s="42"/>
      <c r="G94" s="41"/>
      <c r="H94" s="43"/>
      <c r="I94" s="28"/>
    </row>
    <row r="95" spans="1:9" x14ac:dyDescent="0.3">
      <c r="A95" s="8"/>
      <c r="B95" s="8"/>
      <c r="C95" s="4" t="s">
        <v>15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25" t="str" cm="1">
        <f t="array" ref="H95">_xlfn.IFS(G95=2,1,G95=1,2,G94&lt;$D$94,"Too Fast",G94="DQ","DQ")</f>
        <v>Too Fast</v>
      </c>
      <c r="I95" s="28" t="b">
        <v>0</v>
      </c>
    </row>
    <row r="96" spans="1:9" x14ac:dyDescent="0.3">
      <c r="A96" s="5">
        <v>44</v>
      </c>
      <c r="B96" s="10" t="s">
        <v>77</v>
      </c>
      <c r="C96" s="2" t="s">
        <v>12</v>
      </c>
      <c r="D96" s="16">
        <v>6.4004629629629622E-4</v>
      </c>
      <c r="E96" s="41"/>
      <c r="F96" s="42"/>
      <c r="G96" s="41"/>
      <c r="H96" s="43"/>
      <c r="I96" s="28"/>
    </row>
    <row r="97" spans="1:9" x14ac:dyDescent="0.3">
      <c r="A97" s="7"/>
      <c r="B97" s="8"/>
      <c r="C97" s="4" t="s">
        <v>15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25" t="str" cm="1">
        <f t="array" ref="H97">_xlfn.IFS(G97=2,1,G97=1,2,G96&lt;$D$96,"Too Fast",G96="DQ","DQ")</f>
        <v>Too Fast</v>
      </c>
      <c r="I97" s="28" t="b">
        <v>0</v>
      </c>
    </row>
    <row r="98" spans="1:9" x14ac:dyDescent="0.3">
      <c r="A98" s="5">
        <v>45</v>
      </c>
      <c r="B98" s="10" t="s">
        <v>78</v>
      </c>
      <c r="C98" s="2" t="s">
        <v>32</v>
      </c>
      <c r="D98" s="16">
        <v>2.3460648148148147E-4</v>
      </c>
      <c r="E98" s="41"/>
      <c r="F98" s="42"/>
      <c r="G98" s="41"/>
      <c r="H98" s="43"/>
      <c r="I98" s="28"/>
    </row>
    <row r="99" spans="1:9" x14ac:dyDescent="0.3">
      <c r="A99" s="7"/>
      <c r="B99" s="8"/>
      <c r="C99" s="4" t="s">
        <v>15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25" t="str" cm="1">
        <f t="array" ref="H99">_xlfn.IFS(G99=2,1,G99=1,2,G98&lt;$D$98,"Too Fast",G98="DQ","DQ")</f>
        <v>Too Fast</v>
      </c>
      <c r="I99" s="28" t="b">
        <v>0</v>
      </c>
    </row>
    <row r="100" spans="1:9" x14ac:dyDescent="0.3">
      <c r="A100" s="5">
        <v>46</v>
      </c>
      <c r="B100" s="10" t="s">
        <v>79</v>
      </c>
      <c r="C100" s="2" t="s">
        <v>32</v>
      </c>
      <c r="D100" s="16">
        <v>2.2303240740740739E-4</v>
      </c>
      <c r="E100" s="41"/>
      <c r="F100" s="42"/>
      <c r="G100" s="41"/>
      <c r="H100" s="43"/>
      <c r="I100" s="28"/>
    </row>
    <row r="101" spans="1:9" x14ac:dyDescent="0.3">
      <c r="A101" s="8"/>
      <c r="B101" s="8"/>
      <c r="C101" s="4" t="s">
        <v>15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25" t="str" cm="1">
        <f t="array" ref="H101">_xlfn.IFS(G101=2,1,G101=1,2,G100&lt;$D$100,"Too Fast",G100="DQ","DQ")</f>
        <v>Too Fast</v>
      </c>
      <c r="I101" s="28" t="b">
        <v>0</v>
      </c>
    </row>
    <row r="102" spans="1:9" x14ac:dyDescent="0.3">
      <c r="A102" s="5">
        <v>47</v>
      </c>
      <c r="B102" s="10" t="s">
        <v>80</v>
      </c>
      <c r="C102" s="2" t="s">
        <v>35</v>
      </c>
      <c r="D102" s="16">
        <v>4.236111111111111E-4</v>
      </c>
      <c r="E102" s="41"/>
      <c r="F102" s="42"/>
      <c r="G102" s="41"/>
      <c r="H102" s="43"/>
      <c r="I102" s="28"/>
    </row>
    <row r="103" spans="1:9" x14ac:dyDescent="0.3">
      <c r="A103" s="7"/>
      <c r="B103" s="8"/>
      <c r="C103" s="4" t="s">
        <v>15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25" t="str" cm="1">
        <f t="array" ref="H103">_xlfn.IFS(G103=2,1,G103=1,2,G102&lt;$D$102,"Too Fast",G102="DQ","DQ")</f>
        <v>Too Fast</v>
      </c>
      <c r="I103" s="28" t="b">
        <v>0</v>
      </c>
    </row>
    <row r="104" spans="1:9" x14ac:dyDescent="0.3">
      <c r="A104" s="5">
        <v>48</v>
      </c>
      <c r="B104" s="10" t="s">
        <v>81</v>
      </c>
      <c r="C104" s="2" t="s">
        <v>35</v>
      </c>
      <c r="D104" s="16">
        <v>4.1666666666666669E-4</v>
      </c>
      <c r="E104" s="41"/>
      <c r="F104" s="42"/>
      <c r="G104" s="41"/>
      <c r="H104" s="43"/>
      <c r="I104" s="28"/>
    </row>
    <row r="105" spans="1:9" x14ac:dyDescent="0.3">
      <c r="A105" s="7"/>
      <c r="B105" s="8"/>
      <c r="C105" s="4" t="s">
        <v>15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25" t="str" cm="1">
        <f t="array" ref="H105">_xlfn.IFS(G105=2,1,G105=1,2,G104&lt;$D$104,"Too Fast",G104="DQ","DQ")</f>
        <v>Too Fast</v>
      </c>
      <c r="I105" s="28" t="b">
        <v>0</v>
      </c>
    </row>
    <row r="106" spans="1:9" x14ac:dyDescent="0.3">
      <c r="A106" s="5">
        <v>49</v>
      </c>
      <c r="B106" s="10" t="s">
        <v>82</v>
      </c>
      <c r="C106" s="2" t="s">
        <v>56</v>
      </c>
      <c r="D106" s="16">
        <v>1.3750000000000001E-3</v>
      </c>
      <c r="E106" s="41"/>
      <c r="F106" s="42"/>
      <c r="G106" s="41"/>
      <c r="H106" s="43"/>
      <c r="I106" s="28"/>
    </row>
    <row r="107" spans="1:9" x14ac:dyDescent="0.3">
      <c r="A107" s="8"/>
      <c r="B107" s="8"/>
      <c r="C107" s="4" t="s">
        <v>15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25" t="str" cm="1">
        <f t="array" ref="H107">_xlfn.IFS(G107=2,1,G107=1,2,G106&lt;$D$106,"Too Fast",G106="DQ","DQ")</f>
        <v>Too Fast</v>
      </c>
      <c r="I107" s="28" t="b">
        <v>0</v>
      </c>
    </row>
    <row r="108" spans="1:9" x14ac:dyDescent="0.3">
      <c r="A108" s="5">
        <v>50</v>
      </c>
      <c r="B108" s="10" t="s">
        <v>83</v>
      </c>
      <c r="C108" s="2" t="s">
        <v>56</v>
      </c>
      <c r="D108" s="16">
        <v>1.2638888888888888E-3</v>
      </c>
      <c r="E108" s="41"/>
      <c r="F108" s="42"/>
      <c r="G108" s="41"/>
      <c r="H108" s="43"/>
      <c r="I108" s="28"/>
    </row>
    <row r="109" spans="1:9" x14ac:dyDescent="0.3">
      <c r="A109" s="7"/>
      <c r="B109" s="8"/>
      <c r="C109" s="4" t="s">
        <v>15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25" t="str" cm="1">
        <f t="array" ref="H109">_xlfn.IFS(G109=2,1,G109=1,2,G108&lt;$D$108,"Too Fast",G108="DQ","DQ")</f>
        <v>Too Fast</v>
      </c>
      <c r="I109" s="28" t="b">
        <v>0</v>
      </c>
    </row>
    <row r="110" spans="1:9" x14ac:dyDescent="0.3">
      <c r="A110" s="5">
        <v>51</v>
      </c>
      <c r="B110" s="10" t="s">
        <v>84</v>
      </c>
      <c r="C110" s="2" t="s">
        <v>56</v>
      </c>
      <c r="D110" s="16">
        <v>1.3565972222222224E-3</v>
      </c>
      <c r="E110" s="41"/>
      <c r="F110" s="42"/>
      <c r="G110" s="41"/>
      <c r="H110" s="43"/>
      <c r="I110" s="28"/>
    </row>
    <row r="111" spans="1:9" x14ac:dyDescent="0.3">
      <c r="A111" s="7"/>
      <c r="B111" s="8"/>
      <c r="C111" s="4" t="s">
        <v>15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25" t="str" cm="1">
        <f t="array" ref="H111">_xlfn.IFS(G111=2,1,G111=1,2,G110&lt;$D$110,"Too Fast",G110="DQ","DQ")</f>
        <v>Too Fast</v>
      </c>
      <c r="I111" s="28" t="b">
        <v>0</v>
      </c>
    </row>
    <row r="112" spans="1:9" x14ac:dyDescent="0.3">
      <c r="A112" s="5">
        <v>52</v>
      </c>
      <c r="B112" s="10" t="s">
        <v>85</v>
      </c>
      <c r="C112" s="2" t="s">
        <v>56</v>
      </c>
      <c r="D112" s="16">
        <v>1.2381944444444443E-3</v>
      </c>
      <c r="E112" s="41"/>
      <c r="F112" s="42"/>
      <c r="G112" s="41"/>
      <c r="H112" s="43"/>
      <c r="I112" s="28"/>
    </row>
    <row r="113" spans="1:9" x14ac:dyDescent="0.3">
      <c r="A113" s="7"/>
      <c r="B113" s="8"/>
      <c r="C113" s="4" t="s">
        <v>15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25" t="str" cm="1">
        <f t="array" ref="H113">_xlfn.IFS(G113=2,1,G113=1,2,G112&lt;$D$112,"Too Fast",G112="DQ","DQ")</f>
        <v>Too Fast</v>
      </c>
      <c r="I113" s="28" t="b">
        <v>0</v>
      </c>
    </row>
    <row r="114" spans="1:9" x14ac:dyDescent="0.3">
      <c r="A114" s="5">
        <v>53</v>
      </c>
      <c r="B114" s="10" t="s">
        <v>86</v>
      </c>
      <c r="C114" s="2" t="s">
        <v>56</v>
      </c>
      <c r="D114" s="16">
        <v>6.8287037037037025E-4</v>
      </c>
      <c r="E114" s="41"/>
      <c r="F114" s="42"/>
      <c r="G114" s="41"/>
      <c r="H114" s="43"/>
      <c r="I114" s="28"/>
    </row>
    <row r="115" spans="1:9" x14ac:dyDescent="0.3">
      <c r="A115" s="8"/>
      <c r="B115" s="8"/>
      <c r="C115" s="4" t="s">
        <v>15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25" t="str" cm="1">
        <f t="array" ref="H115">_xlfn.IFS(G115=2,1,G115=1,2,G114&lt;$D$114,"Too Fast",G114="DQ","DQ")</f>
        <v>Too Fast</v>
      </c>
      <c r="I115" s="28" t="b">
        <v>0</v>
      </c>
    </row>
    <row r="116" spans="1:9" x14ac:dyDescent="0.3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27"/>
      <c r="I116" s="28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2" priority="1" operator="containsText" text="02.">
      <formula>NOT(ISERROR(SEARCH("02.",E6)))</formula>
    </cfRule>
    <cfRule type="containsText" dxfId="1" priority="2" operator="containsText" text="01.">
      <formula>NOT(ISERROR(SEARCH("01.",E6)))</formula>
    </cfRule>
    <cfRule type="containsText" dxfId="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ROUNDS NO-TEAMS 04</vt:lpstr>
      <vt:lpstr>FINALS NO-TEAMS 06</vt:lpstr>
      <vt:lpstr>FINALS NO-TEAMS 08</vt:lpstr>
      <vt:lpstr>NO-TEAMS 03</vt:lpstr>
      <vt:lpstr>FINALS NO-TEAMS 05</vt:lpstr>
      <vt:lpstr>FINALS NO-TEAMS 07</vt:lpstr>
      <vt:lpstr>NO-TEAMS 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Rebecca Antliff</cp:lastModifiedBy>
  <cp:revision/>
  <cp:lastPrinted>2026-03-28T19:52:50Z</cp:lastPrinted>
  <dcterms:created xsi:type="dcterms:W3CDTF">2019-11-07T20:01:16Z</dcterms:created>
  <dcterms:modified xsi:type="dcterms:W3CDTF">2026-03-28T19:55:55Z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